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LectIQ_database\"/>
    </mc:Choice>
  </mc:AlternateContent>
  <xr:revisionPtr revIDLastSave="0" documentId="13_ncr:1_{01E52CB7-6DD4-462A-85D0-CAA314D4E692}" xr6:coauthVersionLast="47" xr6:coauthVersionMax="47" xr10:uidLastSave="{00000000-0000-0000-0000-000000000000}"/>
  <bookViews>
    <workbookView xWindow="12060" yWindow="1185" windowWidth="13560" windowHeight="14325" xr2:uid="{C42BA253-88A3-48E4-A6A1-EA4D54EA52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69" i="1" l="1"/>
  <c r="H170" i="1"/>
  <c r="H168" i="1"/>
  <c r="H166" i="1"/>
  <c r="H165" i="1"/>
  <c r="H164" i="1"/>
  <c r="H163" i="1"/>
  <c r="H162" i="1"/>
  <c r="H161" i="1"/>
  <c r="H160" i="1"/>
  <c r="H159" i="1"/>
  <c r="G170" i="1"/>
  <c r="G169" i="1"/>
  <c r="G168" i="1"/>
  <c r="G166" i="1"/>
  <c r="G165" i="1"/>
  <c r="G164" i="1"/>
  <c r="G163" i="1"/>
  <c r="G162" i="1"/>
  <c r="G161" i="1"/>
  <c r="G160" i="1"/>
  <c r="G159" i="1"/>
  <c r="H158" i="1"/>
  <c r="H157" i="1"/>
  <c r="G158" i="1"/>
  <c r="G157" i="1"/>
  <c r="H156" i="1"/>
  <c r="G156" i="1"/>
  <c r="H155" i="1"/>
  <c r="G155" i="1"/>
  <c r="H154" i="1"/>
  <c r="G154" i="1"/>
  <c r="H153" i="1"/>
  <c r="G153" i="1"/>
  <c r="H152" i="1"/>
  <c r="G152" i="1"/>
  <c r="E150" i="1"/>
  <c r="E149" i="1"/>
  <c r="E148" i="1"/>
  <c r="E147" i="1"/>
  <c r="E145" i="1"/>
  <c r="E143" i="1"/>
  <c r="E138" i="1"/>
  <c r="E137" i="1"/>
  <c r="E135" i="1"/>
  <c r="E134" i="1"/>
  <c r="E133" i="1"/>
  <c r="E132" i="1"/>
  <c r="E131" i="1"/>
  <c r="E130" i="1"/>
  <c r="E128" i="1"/>
  <c r="E127" i="1"/>
  <c r="E125" i="1"/>
  <c r="E126" i="1"/>
  <c r="E124" i="1"/>
  <c r="E122" i="1"/>
  <c r="E121" i="1"/>
  <c r="E120" i="1"/>
  <c r="E118" i="1"/>
  <c r="E117" i="1"/>
  <c r="E116" i="1"/>
  <c r="E113" i="1"/>
  <c r="E112" i="1"/>
  <c r="E108" i="1"/>
  <c r="E106" i="1"/>
  <c r="E105" i="1"/>
  <c r="E100" i="1"/>
  <c r="E99" i="1"/>
  <c r="E98" i="1"/>
  <c r="E97" i="1"/>
  <c r="E94" i="1"/>
  <c r="E90" i="1"/>
  <c r="E89" i="1"/>
  <c r="E87" i="1"/>
  <c r="E86" i="1"/>
  <c r="E85" i="1"/>
  <c r="E82" i="1"/>
  <c r="E81" i="1"/>
  <c r="E80" i="1"/>
  <c r="E79" i="1"/>
  <c r="E59" i="1"/>
  <c r="E58" i="1"/>
  <c r="E57" i="1"/>
  <c r="E56" i="1"/>
  <c r="E55" i="1"/>
  <c r="E52" i="1"/>
  <c r="E48" i="1"/>
  <c r="E45" i="1"/>
  <c r="E44" i="1"/>
  <c r="E41" i="1"/>
  <c r="E39" i="1"/>
  <c r="E37" i="1"/>
  <c r="E36" i="1"/>
  <c r="E34" i="1"/>
  <c r="E33" i="1"/>
  <c r="E31" i="1"/>
  <c r="E30" i="1"/>
  <c r="E29" i="1"/>
  <c r="E28" i="1"/>
  <c r="E26" i="1"/>
  <c r="E25" i="1"/>
  <c r="E24" i="1"/>
  <c r="E23" i="1"/>
  <c r="E21" i="1"/>
  <c r="E20" i="1"/>
  <c r="E19" i="1"/>
  <c r="E18" i="1"/>
  <c r="E17" i="1"/>
  <c r="E16" i="1"/>
  <c r="E15" i="1"/>
  <c r="E13" i="1"/>
  <c r="E10" i="1"/>
  <c r="E6" i="1"/>
  <c r="E4" i="1"/>
  <c r="E73" i="1"/>
  <c r="E72" i="1"/>
  <c r="E69" i="1"/>
  <c r="E63" i="1"/>
  <c r="E64" i="1"/>
  <c r="E66" i="1"/>
  <c r="E67" i="1"/>
  <c r="E68" i="1"/>
  <c r="E77" i="1"/>
  <c r="E76" i="1"/>
  <c r="E78" i="1"/>
  <c r="H3" i="1"/>
  <c r="E3" i="1" s="1"/>
  <c r="G9" i="1"/>
</calcChain>
</file>

<file path=xl/sharedStrings.xml><?xml version="1.0" encoding="utf-8"?>
<sst xmlns="http://schemas.openxmlformats.org/spreadsheetml/2006/main" count="685" uniqueCount="484">
  <si>
    <t>ID</t>
  </si>
  <si>
    <t>Glycan</t>
  </si>
  <si>
    <t>Kd</t>
  </si>
  <si>
    <t>Unit</t>
  </si>
  <si>
    <t>stdev_Kd</t>
  </si>
  <si>
    <r>
      <t xml:space="preserve">Kd, </t>
    </r>
    <r>
      <rPr>
        <sz val="11"/>
        <color theme="1"/>
        <rFont val="Calibri"/>
        <family val="2"/>
      </rPr>
      <t>μM</t>
    </r>
  </si>
  <si>
    <t>1/Kd</t>
  </si>
  <si>
    <t>SD</t>
  </si>
  <si>
    <t>GlyTouCanID</t>
  </si>
  <si>
    <t>Gly063</t>
  </si>
  <si>
    <t>μM</t>
  </si>
  <si>
    <t>G84173YM</t>
  </si>
  <si>
    <t>Neu5Ac(a2-3)Gal(b1-4)[Fuc(a1-3)]Glc(b1-</t>
  </si>
  <si>
    <t>Gly080</t>
  </si>
  <si>
    <t>Gly081</t>
  </si>
  <si>
    <t>G03309JT</t>
  </si>
  <si>
    <t>Neu5Ac(a2-3)Gal(b1-3)GlcNAc(b1-3)Gal(b1-</t>
  </si>
  <si>
    <t>G78959US</t>
  </si>
  <si>
    <t>Neu5Ac(a2-3)Gal(b1-3)GlcNAc(b1-3)Gal(b1-4)GlcNAc(b1-</t>
  </si>
  <si>
    <t>Gly090</t>
  </si>
  <si>
    <t>G00065MO</t>
  </si>
  <si>
    <t>Neu5Ac(a2-3)Gal(b1-4)GlcNAc(b1-</t>
  </si>
  <si>
    <t>Gly091</t>
  </si>
  <si>
    <t>Neu5Ac(a2-8)Neu5Ac(2-3)Gal(b1-4)Glc(b1-</t>
  </si>
  <si>
    <t>Gly092</t>
  </si>
  <si>
    <t>G98544DH</t>
  </si>
  <si>
    <t>Gly082</t>
  </si>
  <si>
    <t>G69440RD</t>
  </si>
  <si>
    <t>Neu5Ac(a2-8)Neu5Ac(a2-8)Neu5Ac(a2-3)Gal(b1-4)Glc(b1-</t>
  </si>
  <si>
    <t>G93899SO</t>
  </si>
  <si>
    <t>Gly083</t>
  </si>
  <si>
    <t>G01767JJ</t>
  </si>
  <si>
    <t>Neu5Ac(a2-3)Gal(b1-4)GlcNAc(b1-3)Gal(b1-</t>
  </si>
  <si>
    <t>Neu5Ac(a2-3)Gal(b1-4)GlcNAc(b1-3)Gal(b1-4)Glc(b1-</t>
  </si>
  <si>
    <t>Gly094</t>
  </si>
  <si>
    <t>GalNAc(b1-4)[Neu5Ac(a2-8)Neu5Ac(a2-3)]Gal(b1-4)Glc(b1-</t>
  </si>
  <si>
    <t>G02657AK</t>
  </si>
  <si>
    <t>Gly095</t>
  </si>
  <si>
    <t>G36476BA</t>
  </si>
  <si>
    <t>GalNAc(b1-4)[Neu5Ac(a2-8)Neu5Ac(a2-8)Neu5Ac(a2-3)]Gal(b1-4)Glc(b1-</t>
  </si>
  <si>
    <t>Gly098</t>
  </si>
  <si>
    <t>G46677TE</t>
  </si>
  <si>
    <t>Neu5Ac(a2-3)Gal(b1-3)GalNAc(b1-4)[Neu5Ac(a2-3)]Gal(b1-3)Glc</t>
  </si>
  <si>
    <t>Gly100</t>
  </si>
  <si>
    <t>G68110IF</t>
  </si>
  <si>
    <t>Neu5Ac(a2-8)Neu5Ac(2-3)Gal(b1-3)GalNAc(b1-4)[Neu5Ac(a2-3)]Gal(b1-4)Glc(b1-</t>
  </si>
  <si>
    <t>Gly093</t>
  </si>
  <si>
    <t>GalNAc(b1-4)[Neu5Ac(a2-3)]Gal(b1-4)Glc(b1-</t>
  </si>
  <si>
    <t>G79389NT</t>
  </si>
  <si>
    <t>Gly096</t>
  </si>
  <si>
    <t>G48558GR</t>
  </si>
  <si>
    <t>Gal(b1-3)GalNAc(b1-4)[Neu5Ac(a2-3)]Gal(b1-4)Glc(b1-</t>
  </si>
  <si>
    <t>Gly099</t>
  </si>
  <si>
    <t>Gal(b1-3)GalNAc(b1-4)[Neu5Ac(a2-3)Neu5Ac(a2-3)]Gal(b1-4)Glc(b1-</t>
  </si>
  <si>
    <t>G37184KW</t>
  </si>
  <si>
    <t>Gly101</t>
  </si>
  <si>
    <t>Gal(b1-3)GalNAc(b1-4)[Neu5Ac(a2-3)Neu5Ac(a2-8)Neu5Ac(a2-3)]Gal(b1-4)Glc(b1-</t>
  </si>
  <si>
    <t>G78818SP</t>
  </si>
  <si>
    <t>Gly131</t>
  </si>
  <si>
    <t>Neu5Ac(a1-3)Gal(b1-3)GalNAc(b1-3)Gal(a1-4)Gal(b1-4)Glc</t>
  </si>
  <si>
    <t>G32254QI</t>
  </si>
  <si>
    <t>Gly130</t>
  </si>
  <si>
    <t>Neu5Ac(a2-3)Gal(b1-3)GalNAc(b1-3)Gal(b1-</t>
  </si>
  <si>
    <t>Gly172</t>
  </si>
  <si>
    <t>Neu5Ac(a2-8)Neu5Ac(a2-3)Gal(b1-3)GlcNAc(b1-3)Gal(b1-</t>
  </si>
  <si>
    <t>Gly053</t>
  </si>
  <si>
    <t>Neu5Ac(a2-3)Gal(b1-4)[Fuc(a1-3)]GlcNAc(b1-3)Gal(b1-</t>
  </si>
  <si>
    <t>G32081WS</t>
  </si>
  <si>
    <t>6SL</t>
  </si>
  <si>
    <t>Neu5Ac(a2-6)Gal(b1-4)Glc(b1-</t>
  </si>
  <si>
    <t>G28868ZC</t>
  </si>
  <si>
    <t>6SLN</t>
  </si>
  <si>
    <t>Neu5Ac(a2-6)Gal(b1-4)GlcNAc</t>
  </si>
  <si>
    <t>G73578JC</t>
  </si>
  <si>
    <t>Gly097</t>
  </si>
  <si>
    <t>Neu5Ac(a2-3)Gal(b1-3)GalNAc(b1-4)Gal(b1-4)Glc</t>
  </si>
  <si>
    <t>G03277YI</t>
  </si>
  <si>
    <t>3SLN</t>
  </si>
  <si>
    <t>Neu5Ac(a2-3)Gal(b1-4)GlcNAc</t>
  </si>
  <si>
    <t>Stag</t>
  </si>
  <si>
    <t>Neu5Ac(a2-3)Gal(b1-3)GalNAc</t>
  </si>
  <si>
    <t>G02684WR</t>
  </si>
  <si>
    <t>GT1b</t>
  </si>
  <si>
    <t>Neu5Ac(a2-3)Gal(b1-3)GalNAc(b1-4)[Neu5Ac(b2-8)]Neu5Ac(a2-3)Gal(b1-4)Glc</t>
  </si>
  <si>
    <t>Gly162</t>
  </si>
  <si>
    <t>Gly111</t>
  </si>
  <si>
    <t>Gal(b1-4)[Neu5Ac(a2-3)]Gal(b1-4)Glc(b1-</t>
  </si>
  <si>
    <t>G55779FV</t>
  </si>
  <si>
    <t>Gly171</t>
  </si>
  <si>
    <t>Neu5Ac(a2-3)Gal(a2-4)Gal(b1-4)Glc(b1-</t>
  </si>
  <si>
    <t>G88815RG</t>
  </si>
  <si>
    <t>Gly180</t>
  </si>
  <si>
    <t>GlcA(b1-3)Gal(b1-4)Glc(b1-</t>
  </si>
  <si>
    <t>G49110FU</t>
  </si>
  <si>
    <t>Gly181</t>
  </si>
  <si>
    <t>GlcA(b1-3)Gal(b1-3)GlcNAc(b1-3)Gal(b1-4)Glc</t>
  </si>
  <si>
    <t>Gly005</t>
  </si>
  <si>
    <t>Gal(b1-3)GlcNAc(b1-3)Gal</t>
  </si>
  <si>
    <t>G94798MK</t>
  </si>
  <si>
    <t>Gly007</t>
  </si>
  <si>
    <t>Gal(b1-4)GlcNAc(b1-3)Gal(b1-4)GlcNAc(b1-</t>
  </si>
  <si>
    <t>G00058MO</t>
  </si>
  <si>
    <t>Gly022</t>
  </si>
  <si>
    <t>Gly010</t>
  </si>
  <si>
    <t>Gal(b1-3)GlcNAc(b1-3)Gal(b1-4)Glc(b1-</t>
  </si>
  <si>
    <t>G00049MO</t>
  </si>
  <si>
    <t>Gal(b1-4)GlcNAc(b1-3)Gal(b1-4)GlcNAc(b1-3)Gal(b1-4)Glc(b1-</t>
  </si>
  <si>
    <t>G84034JH</t>
  </si>
  <si>
    <t>Gly023</t>
  </si>
  <si>
    <t>Gal(b1-4)GlcNAc(b1-3)Gal(b1-4)GlcNAc(b1-3)Gal(b1-4)GlcNAc(b1-3)Gal(b1-4)Glc(b1-</t>
  </si>
  <si>
    <t>G77285LE</t>
  </si>
  <si>
    <t>Gly030</t>
  </si>
  <si>
    <t>Fuc(a2-2)Gal(b1-</t>
  </si>
  <si>
    <t>G00068MO</t>
  </si>
  <si>
    <t>Gly031</t>
  </si>
  <si>
    <t>Fuc(a2-2)Gal(b1-4)Glc(b1-</t>
  </si>
  <si>
    <t>G61399NC</t>
  </si>
  <si>
    <t>Gly032-1</t>
  </si>
  <si>
    <t>Fuc(a2-2)Gal(b1-4)GlcNAc(b1-3)Gal(b1-</t>
  </si>
  <si>
    <t>G70519XK</t>
  </si>
  <si>
    <t>Gly033-1</t>
  </si>
  <si>
    <t>G00050MO</t>
  </si>
  <si>
    <t>Fuc(a2-2)Gal(b1-3)GlcNAc(b1-3)Gal(b1-4)Glc(b1-</t>
  </si>
  <si>
    <t>Gly034</t>
  </si>
  <si>
    <t>GalNAc(a2-3)[Fuc(a2-2)]Gal(b1-</t>
  </si>
  <si>
    <t>G00066MO</t>
  </si>
  <si>
    <t>Gly035-1</t>
  </si>
  <si>
    <t>GalNAc(a2-3)[Fuc(a2-2)]Gal(b1-3)GlcNAc(b1-</t>
  </si>
  <si>
    <t>G66163TI</t>
  </si>
  <si>
    <t>Gly035-4</t>
  </si>
  <si>
    <t>GalNAc(a1-3)[Fuc(a1-2)]Gal(b1-3)[Fuc(a1-4)]GlcNAc(b1-</t>
  </si>
  <si>
    <t>G97501MA</t>
  </si>
  <si>
    <t>Gly036-1</t>
  </si>
  <si>
    <t>GalNAc(a1-3)[Fuc(a1-2)]Gal(b1-3)GlcNAc(b1-3)Gal(b1-</t>
  </si>
  <si>
    <t>G59682AL</t>
  </si>
  <si>
    <t>Gly037-1</t>
  </si>
  <si>
    <t>GalNAc(a1-3)[Fuc(a1-2)]Gal(b1-3)GlcNAc(b1-3)Gal(b1-4)Glc(b1-</t>
  </si>
  <si>
    <t>G82858KU</t>
  </si>
  <si>
    <t>Gly038</t>
  </si>
  <si>
    <t>Gal(a1-3)[Fuc(a1-2)]Gal(b1-4)Gal(b1-</t>
  </si>
  <si>
    <t>Gly038-4</t>
  </si>
  <si>
    <t>Gal(a1-3)[Fuc(a1-2)]Gal(b1-3)[Fuc(a1-4)]GlcNAc(b1-</t>
  </si>
  <si>
    <t>G89208KM</t>
  </si>
  <si>
    <t>Gly006</t>
  </si>
  <si>
    <t>Gal(b1-4)GlcNAc(b1-3)Gal(b1-</t>
  </si>
  <si>
    <t>G06580KR</t>
  </si>
  <si>
    <t>Gly021</t>
  </si>
  <si>
    <t>Gal(b1-4)GlcNAc(b1-3)Gal(b1-4)Glc(b1-</t>
  </si>
  <si>
    <t>G58896AZ</t>
  </si>
  <si>
    <t>Gly032-2</t>
  </si>
  <si>
    <t>Fuc(a1-2)Gal(b1-3)GlcNAc(b1-3)Gal(b1-</t>
  </si>
  <si>
    <t>G00294TN</t>
  </si>
  <si>
    <t>Gly033-2</t>
  </si>
  <si>
    <t>Fuc(a1-2)Gal(b1-4)GlcNAc(b1-3)Gal(b1-4)Glc(b1-</t>
  </si>
  <si>
    <t>G13636IT</t>
  </si>
  <si>
    <t>Gly035-2</t>
  </si>
  <si>
    <t>GalNAc(a1-3)[Fuc(a1-2)]Gal(b1-4)GlcNAc(b1-</t>
  </si>
  <si>
    <t>G74353FF</t>
  </si>
  <si>
    <t>Gly035-5</t>
  </si>
  <si>
    <t>GalNAc(a1-3)[Fuc(a1-2)]Gal(b1-4)[Fuc(a1-3)]GlcNAc(b1-</t>
  </si>
  <si>
    <t>G54826OZ</t>
  </si>
  <si>
    <t>Gly036-2</t>
  </si>
  <si>
    <t>GalNAc(a1-3)[Fuc(a1-2)]Gal(b1-4)GlcNAc(b1-3)Gal(b1-</t>
  </si>
  <si>
    <t>G18076SX</t>
  </si>
  <si>
    <t>Gly037-2</t>
  </si>
  <si>
    <t>GalNAc(a1-3)[Fuc(a1-2)]Gal(b1-4)GlcNAc(b1-3)Gal(b1-4)Glc(b1-</t>
  </si>
  <si>
    <t>G96538JO</t>
  </si>
  <si>
    <t>Gly038-5</t>
  </si>
  <si>
    <t>Gal(a1-3)]Fuc(a1-2)]Gal(b1-4)[Fuc(a1-3)]GlcNAc(b1-</t>
  </si>
  <si>
    <t>G04624DG</t>
  </si>
  <si>
    <t>Gly040-2</t>
  </si>
  <si>
    <t>Gal(a1-3)[Fuc(a1-2)]Gal(b1-4)GlcNAc(b1-3)Gal(b1-4)Glc(b1-</t>
  </si>
  <si>
    <t>G77593JU</t>
  </si>
  <si>
    <t>Gly046</t>
  </si>
  <si>
    <t>Gal(b1-3)[Fuc(a1-4)]GlcNAc(b1-</t>
  </si>
  <si>
    <t>G39023AU</t>
  </si>
  <si>
    <t>Gly048</t>
  </si>
  <si>
    <t>Fuc(a1-2)Gal(b1-4)[Fuc(a1-3)]GlcNAc(b1-</t>
  </si>
  <si>
    <t>G00052MO</t>
  </si>
  <si>
    <t>Gly055</t>
  </si>
  <si>
    <t>Gal(b1-3)[Fuc(a1-4)]GlcNAc(b1-3)Gal(b1-4)[Fuc(a1-3)]Glc(b1-</t>
  </si>
  <si>
    <t>G26123AX</t>
  </si>
  <si>
    <t>Gly060</t>
  </si>
  <si>
    <t>Gal(b1-4)[Fuc(a1-3)]Glc(b1-</t>
  </si>
  <si>
    <t>G57548NB</t>
  </si>
  <si>
    <t>Gly064</t>
  </si>
  <si>
    <t>Gal(a1-3)Gal(b1-4)[Fuc(a1-3)]Glc(b1-</t>
  </si>
  <si>
    <t>G49423BG</t>
  </si>
  <si>
    <t>Gly073</t>
  </si>
  <si>
    <t>Gal(b1-3)GalNAc(b1-3)Gal(a1-3)Gal(b1-4)Glc(b1-</t>
  </si>
  <si>
    <t>G67698UZ</t>
  </si>
  <si>
    <t>Gly120</t>
  </si>
  <si>
    <t>Gal(a1-4)Gal(b1-4)Glc(b1-</t>
  </si>
  <si>
    <t>G00059MO</t>
  </si>
  <si>
    <t>Gly132</t>
  </si>
  <si>
    <t>GalNAc(b1-3)GalNAc(b1-3)Gal(a1-4)Gal(b1-4)Glc(b1-</t>
  </si>
  <si>
    <t>G51699SI</t>
  </si>
  <si>
    <t>Gly133</t>
  </si>
  <si>
    <t>GalNAc(b1-3)GalNAc(b1-3)Gal(b1-</t>
  </si>
  <si>
    <t>Gly161</t>
  </si>
  <si>
    <t>Gly163</t>
  </si>
  <si>
    <t>Fuc(a1-2)Gal(b1-4)[Fuc(a1-2)]Glc(b1-</t>
  </si>
  <si>
    <t>G72778GD</t>
  </si>
  <si>
    <t>GN203</t>
  </si>
  <si>
    <t>Gal(b1-3)GlcNAc(b1-</t>
  </si>
  <si>
    <t>G00056MO</t>
  </si>
  <si>
    <t>L205</t>
  </si>
  <si>
    <t>Fuc(a1-2)Gal(b1-</t>
  </si>
  <si>
    <t>L605</t>
  </si>
  <si>
    <t>Glc(b1-4)GlcNAc(b1-6)[Glc(b1-3)GlcNAc(b1-3)]Gal(b1-4)Glc(b1-</t>
  </si>
  <si>
    <t>M436</t>
  </si>
  <si>
    <t>M536</t>
  </si>
  <si>
    <t>Man(a1-3)[Man(a1-6)]Man(a1-6)[Man(a1-3)]Man(b1-</t>
  </si>
  <si>
    <t>G23046QV</t>
  </si>
  <si>
    <t>Gly035</t>
  </si>
  <si>
    <t>GalNAc(a1-3)[Fuc(a1-2)]Gal(b1-4)Glc(b1-</t>
  </si>
  <si>
    <t>G19524AS</t>
  </si>
  <si>
    <t>Gly039-1</t>
  </si>
  <si>
    <t>Gal(a1-3)[Fuc(a1-2)]Gal(b1-3)GlcNAc(b1-3)Gal(b1-</t>
  </si>
  <si>
    <t>Gly049</t>
  </si>
  <si>
    <t>Gal(b1-4)[Fuc(a1-3)]GlcNAc(b1-</t>
  </si>
  <si>
    <t>G00051MO</t>
  </si>
  <si>
    <t>Gly052</t>
  </si>
  <si>
    <t>Fuc(a1-2)Gal(b1-4)[Fuc(a1-3)GlcNAc(b1-3)Gal(b1-</t>
  </si>
  <si>
    <t>G34022KC</t>
  </si>
  <si>
    <t>Gly072</t>
  </si>
  <si>
    <t>GalNAc(b1-3)Gal(a1-3)Gal(b1-4)Glc(b1-</t>
  </si>
  <si>
    <t>G57710SU</t>
  </si>
  <si>
    <t>Gly122</t>
  </si>
  <si>
    <t>Gal(b1-3)GalNAc(b1-3)Gal(a1-4)Gal(b1-4)Glc(b1-</t>
  </si>
  <si>
    <t>G99053DY</t>
  </si>
  <si>
    <t>Gly123</t>
  </si>
  <si>
    <t>Fuc(a1-2)Gal(b1-3)GalNAc(b1-3)Gal(a1-4)Gal(b1-4)Glc(b1-</t>
  </si>
  <si>
    <t>G98465JN</t>
  </si>
  <si>
    <t>Gly128</t>
  </si>
  <si>
    <t>GalNAc(a1-3)[Fuc(a1-2)]Gal(b1-3)GalNAc(b1-3)Gal(b1-</t>
  </si>
  <si>
    <t>G77636QU</t>
  </si>
  <si>
    <t>G;y160</t>
  </si>
  <si>
    <t>Gal(b1-4)Glc(b1-3)Gal(b1-</t>
  </si>
  <si>
    <t>G67474VT</t>
  </si>
  <si>
    <t>GN204</t>
  </si>
  <si>
    <t>Gal(b1-4)GlcNAc(b1-</t>
  </si>
  <si>
    <t>G00055MO</t>
  </si>
  <si>
    <t>L603</t>
  </si>
  <si>
    <t>G60629OV</t>
  </si>
  <si>
    <t>LN422</t>
  </si>
  <si>
    <t>Fuc(a1-2)Gal(b1-3)[Fuc(a1-4)]GlcNAc(b1-</t>
  </si>
  <si>
    <t>G00048MO</t>
  </si>
  <si>
    <t>C8006</t>
  </si>
  <si>
    <t>Gly035-3</t>
  </si>
  <si>
    <t>Gly056</t>
  </si>
  <si>
    <t>Fuc(a1-2)Gal(b1-3)[Fuc(a1-4)]GlcNAc(b1-3)Gal(b1-</t>
  </si>
  <si>
    <t>G10333YJ</t>
  </si>
  <si>
    <t>Gly074-1</t>
  </si>
  <si>
    <t>Gal(a1-3)Gal(b1-3)GlcNAc(b1-</t>
  </si>
  <si>
    <t>G34356AA</t>
  </si>
  <si>
    <t>Gly102</t>
  </si>
  <si>
    <t>Gal(b1-3)GalNAc(b1-4)Gal(b1-4)Glc(b1-</t>
  </si>
  <si>
    <t>G21856LC</t>
  </si>
  <si>
    <t>G334</t>
  </si>
  <si>
    <t>G31408VE</t>
  </si>
  <si>
    <t>Gal(a1-3)Gal(b1-4)Gal(b1-</t>
  </si>
  <si>
    <t>GN206</t>
  </si>
  <si>
    <t>Gal(b1-6)GlcNAc(b1-</t>
  </si>
  <si>
    <t>G59342AI</t>
  </si>
  <si>
    <t>LN303</t>
  </si>
  <si>
    <t>Glc(b1-4)[Fuc(a1-3)]GlcNAc(b1-</t>
  </si>
  <si>
    <t>G41394RJ</t>
  </si>
  <si>
    <t>LN423</t>
  </si>
  <si>
    <t>Gly038-1</t>
  </si>
  <si>
    <t>Gal(a1-3)[Fuc(a1-2)]Gal(b1-3)GlcNAc(b1-</t>
  </si>
  <si>
    <t>G31734OS</t>
  </si>
  <si>
    <t>Gly039-2</t>
  </si>
  <si>
    <t>Gal(a1-4)[Fuc(a1-2)]Gal(b1-3)GlcNAc(b1-3)Gal(b1-</t>
  </si>
  <si>
    <t>Gly067</t>
  </si>
  <si>
    <t>GalNAc(a1-3)[Fuc(a1-2)]Gal(b1-4)[Fuc(a1-3)]Glc(b1-</t>
  </si>
  <si>
    <t>G62121FH</t>
  </si>
  <si>
    <t>Gly104</t>
  </si>
  <si>
    <t>GalNAc(b1-4)Gal(b1-4)Glc(b1-</t>
  </si>
  <si>
    <t>G90562PB</t>
  </si>
  <si>
    <t>Gly121</t>
  </si>
  <si>
    <t>GalNAc(b1-3)Gal(a1-4)Gal(b1-4)Glc(b1-</t>
  </si>
  <si>
    <t>G00061MO</t>
  </si>
  <si>
    <t>GN213</t>
  </si>
  <si>
    <t>Gal(b1-3)GalNAc(b1-</t>
  </si>
  <si>
    <t>G01534TU</t>
  </si>
  <si>
    <t>Hex012</t>
  </si>
  <si>
    <t>Man(a1-2)Man(a1-3)[Man(a1-6)]Man(a1-6)[Man(a1-3)]Man(b1-</t>
  </si>
  <si>
    <t>OLI011</t>
  </si>
  <si>
    <t>OLI012</t>
  </si>
  <si>
    <t>Man(a1-2)Man(a1-3)[Man(a1-2)Man(a1-6)]Man(a1-6)[Man(a1-3)]Man(b1-</t>
  </si>
  <si>
    <t>OLI008</t>
  </si>
  <si>
    <t>Man(a1-2)Man(a1-3)[Man(a1-6)]Man(a1-6)[Man(a1-2)Man(a1-2)Man(a1-3)]Man(b1-</t>
  </si>
  <si>
    <t>Gly038-2</t>
  </si>
  <si>
    <t>Gal(a1-3)[Fuc(a1-2)]Gal(b1-4)GlcNAc(b1-</t>
  </si>
  <si>
    <t>G94956AW</t>
  </si>
  <si>
    <t>Gly061</t>
  </si>
  <si>
    <t>Gal(b1-4)GlcNAc(b1-3)Gal(b1-4)[Fuc(a1-3)]Glc(b1-</t>
  </si>
  <si>
    <t>G46248BN</t>
  </si>
  <si>
    <t>Gly126</t>
  </si>
  <si>
    <t>Gal(b1-3)GalNAc(b1-3)Gal(b1-</t>
  </si>
  <si>
    <t>G34573QO</t>
  </si>
  <si>
    <t>OLI010</t>
  </si>
  <si>
    <t>OLI016</t>
  </si>
  <si>
    <t>OLI017</t>
  </si>
  <si>
    <t>OLI014</t>
  </si>
  <si>
    <t>OLI009</t>
  </si>
  <si>
    <t>Gly050</t>
  </si>
  <si>
    <t>Gal(b1-4)[Fuc(a1-3)]GlcNAc(b1-3)Gal(b1-</t>
  </si>
  <si>
    <t>G81345OW</t>
  </si>
  <si>
    <t>Gly062</t>
  </si>
  <si>
    <t>Gly136</t>
  </si>
  <si>
    <t>Gal(a1-4)Gal(b1-4)GlcNAc(b1-</t>
  </si>
  <si>
    <t>G00076PK</t>
  </si>
  <si>
    <t>LN320</t>
  </si>
  <si>
    <t>Fuc(a1-2)Gal(b1-4)GlcNAc(b1-</t>
  </si>
  <si>
    <t>G61459JW</t>
  </si>
  <si>
    <t>Hex014</t>
  </si>
  <si>
    <t>Man(a1-2)Man(a1-6)[Man(a1-3)]Man(a1-6)[Man(a1-3)]Man(b1-</t>
  </si>
  <si>
    <t>OLI018</t>
  </si>
  <si>
    <t>OLI007</t>
  </si>
  <si>
    <t>OLI015</t>
  </si>
  <si>
    <t>Gly435</t>
  </si>
  <si>
    <t>Gly436</t>
  </si>
  <si>
    <t>C8004</t>
  </si>
  <si>
    <t>Gly054</t>
  </si>
  <si>
    <t>Gal(b1-3)[Fuc(a1-4)]GlcNAc(b1-3)Gal(b1-</t>
  </si>
  <si>
    <t>G80022XC</t>
  </si>
  <si>
    <t>Gly129</t>
  </si>
  <si>
    <t>Gal(a1-3)[Fuc(a1-2)]Gal(b1-3)GalNAc(b1-3)Gal(b1-</t>
  </si>
  <si>
    <t>G53449FY</t>
  </si>
  <si>
    <t>GN334</t>
  </si>
  <si>
    <t>Gal(a1-3)Gal(b1-4)GlcNAc(b1-</t>
  </si>
  <si>
    <t>G03499BP</t>
  </si>
  <si>
    <t>Hex002</t>
  </si>
  <si>
    <t>Man(a1-3)[Man(a1-6)]Man(a1-6)[Man(a1-2)Man(a1-3)]Man(b1-</t>
  </si>
  <si>
    <t>OLI013</t>
  </si>
  <si>
    <t>Gly040-1</t>
  </si>
  <si>
    <t>Gal(a1-3)[Fuc(a1-2)]Gal(b1-3)GlcNAc(b1-3)Gal(b1-4)Glc(b1-</t>
  </si>
  <si>
    <t>G63238VS</t>
  </si>
  <si>
    <t>Gly045</t>
  </si>
  <si>
    <t>Gly051</t>
  </si>
  <si>
    <t>Gly066</t>
  </si>
  <si>
    <t>Gly068</t>
  </si>
  <si>
    <t>Gly070</t>
  </si>
  <si>
    <t>Gly071</t>
  </si>
  <si>
    <t>Gly077</t>
  </si>
  <si>
    <t>Gly075</t>
  </si>
  <si>
    <t>Gal(b1-4)[Fuc(a1-3)]GlcNAc(b1-3)Gal(b1-4)[Fuc(a1-3)]Glc(b1-</t>
  </si>
  <si>
    <t>G31569EM</t>
  </si>
  <si>
    <t>Fuc(a1-2)Gal(b1-4)[Fuc(a1-3)]Glc(b1-</t>
  </si>
  <si>
    <t>G05337KJ</t>
  </si>
  <si>
    <t>Gal(a1-3)[Fuc(a1-2)]Gal(b1-4)[Fuc(a1-3)]Glc(b1-</t>
  </si>
  <si>
    <t>G13034PC</t>
  </si>
  <si>
    <t>Gal(a1-3)Gal(b1-4)Glc(b1-</t>
  </si>
  <si>
    <t>G78074HX</t>
  </si>
  <si>
    <t>Gal(a1-3)Gal(b1-4)[Fuc(a1-3)]GlcNAc(b1-</t>
  </si>
  <si>
    <t>G08176ZW</t>
  </si>
  <si>
    <t>G205</t>
  </si>
  <si>
    <t>G204</t>
  </si>
  <si>
    <t>Gal(b1-4)Gal(b1-</t>
  </si>
  <si>
    <t>G08806VI</t>
  </si>
  <si>
    <t>G443</t>
  </si>
  <si>
    <t>GC121</t>
  </si>
  <si>
    <t>GlcNAc(b1-4)[Fuc(a1-6)]GlcNAc(b1-</t>
  </si>
  <si>
    <t>G21290RB</t>
  </si>
  <si>
    <t>GN104</t>
  </si>
  <si>
    <t>GlcNAc(a1-4)Gal(b1-</t>
  </si>
  <si>
    <t>G94473FP</t>
  </si>
  <si>
    <t>Gly127</t>
  </si>
  <si>
    <t>Fuc(a1-2)Gal(b1-3)GalNAc(b1-3)Gal(b1-</t>
  </si>
  <si>
    <t>G17425GC</t>
  </si>
  <si>
    <t>LN340</t>
  </si>
  <si>
    <t>Gly078</t>
  </si>
  <si>
    <t>Gly079</t>
  </si>
  <si>
    <t>Gly124</t>
  </si>
  <si>
    <t>Gly125</t>
  </si>
  <si>
    <t>GalNAc(a1-3)[Fuc(a1-2)]Gal(b1-3)GalNAc(b1-3)Gal(a1-4)Gal(b1-4)Glc(b1-</t>
  </si>
  <si>
    <t>Gal(a1-3)[Fuc(a1-2)]Gal(b1-3)GalNAc(b1-3)Gal(a1-4)Gal(b1-4)Glc(b1-</t>
  </si>
  <si>
    <t>Gly134</t>
  </si>
  <si>
    <t>GalNAc(a1-3)GalNAc(b1-3)Gal(a1-3)Gal(b1-4)Glc(b1-</t>
  </si>
  <si>
    <t>2FL</t>
  </si>
  <si>
    <t>G37830TX</t>
  </si>
  <si>
    <t>G25216QA</t>
  </si>
  <si>
    <t>G51197ZR</t>
  </si>
  <si>
    <t>Fuc(a1-2)Gal(b1-4)Glc(b1-</t>
  </si>
  <si>
    <t>H type 1</t>
  </si>
  <si>
    <t>Fuc(a1-2)Gal(b1-3)GlcNAc(b1-</t>
  </si>
  <si>
    <t>G35778AN</t>
  </si>
  <si>
    <t>H type 2</t>
  </si>
  <si>
    <t>H type 3</t>
  </si>
  <si>
    <t>Fuc(a1-2)Gal(b1-3)GalNAc(a1-</t>
  </si>
  <si>
    <t>H type 4</t>
  </si>
  <si>
    <t>H type 5</t>
  </si>
  <si>
    <t>H type 6</t>
  </si>
  <si>
    <t>Fuc(a1-2)Gal(b1-3)Gal(b1-</t>
  </si>
  <si>
    <t>G94435QH</t>
  </si>
  <si>
    <t>G42346RJ</t>
  </si>
  <si>
    <t>B type 1</t>
  </si>
  <si>
    <t>B type 2</t>
  </si>
  <si>
    <t>B type 4</t>
  </si>
  <si>
    <t>B type 3</t>
  </si>
  <si>
    <t>Gal(a1-3)[Fuc(a1-2)]Gal(b1-3)GalNAc(a1-</t>
  </si>
  <si>
    <t>Gal(a1-3)[Fuc(a1-2)]Gal(b1-3)GalNAc(b1-</t>
  </si>
  <si>
    <t>B type 5</t>
  </si>
  <si>
    <t>Gal(a1-3)[Fuc(a1-2)]Gal(b1-3)Gal(b1-</t>
  </si>
  <si>
    <t>B type 6</t>
  </si>
  <si>
    <t>Gal(a1-3)[Fuc(a1-2)]Gal(b1-4)Glc(b1-</t>
  </si>
  <si>
    <t>A type 1</t>
  </si>
  <si>
    <t>GalNAc(a1-3)[Fuc(a1-2)]Gal(b1-3)GlcNAc(b1-</t>
  </si>
  <si>
    <t>A type 2</t>
  </si>
  <si>
    <t>A type 3</t>
  </si>
  <si>
    <t>GalNAc(a1-3)[Fuc(a1-2)]Gal(b1-3)GalNAc(a1-</t>
  </si>
  <si>
    <t>A type 4</t>
  </si>
  <si>
    <t>GalNAc(a1-3)[Fuc(a1-2)]Gal(b1-3)GalNAc(b1-</t>
  </si>
  <si>
    <t>A type 5</t>
  </si>
  <si>
    <t>A type 6</t>
  </si>
  <si>
    <t>GalNAc(a1-3)[Fuc(a1-2)Gal(b1-3)Gal(b1-</t>
  </si>
  <si>
    <t>G88313DY</t>
  </si>
  <si>
    <t>G99454KR</t>
  </si>
  <si>
    <t>G02789DS</t>
  </si>
  <si>
    <t>G06873PC</t>
  </si>
  <si>
    <t>G02710ET</t>
  </si>
  <si>
    <t>G24528HM</t>
  </si>
  <si>
    <t>G15529RM</t>
  </si>
  <si>
    <t>G32625ZI</t>
  </si>
  <si>
    <t>G30716NO</t>
  </si>
  <si>
    <t>G31212XB</t>
  </si>
  <si>
    <t>G13673AW</t>
  </si>
  <si>
    <t>G20230SP</t>
  </si>
  <si>
    <t>G97615LG</t>
  </si>
  <si>
    <t>G94912GI</t>
  </si>
  <si>
    <t>G20881OU</t>
  </si>
  <si>
    <t>G13869MZ</t>
  </si>
  <si>
    <t>G08626JX</t>
  </si>
  <si>
    <t>G59189CN</t>
  </si>
  <si>
    <t>G32205XM</t>
  </si>
  <si>
    <t>Gal(a1-3)Gal(b1-4)GlcNAc(b1-3)Gal(b1-4)GlcNAc(b1-3)Gal(b1-4)GlcNAc(b1-3)Gal(b1-4)Glc(b1-</t>
  </si>
  <si>
    <t>Gal(a1-3)Gal(b1-4)GlcNAc(b1-3)Gal(b1-4)GlcNAc(b1-3)Gal(b1-4)GlcNAc(b1-3)Gal(b1-4)GlcNAc(b1-3)Gal(b1-4)Glc(b1-</t>
  </si>
  <si>
    <t>G37083MF</t>
  </si>
  <si>
    <t>Gal(a1-3)Gal(b1-4)GlcNAc(b1-3)Gal(b1-4)GlcNAc(b1-3)Gal(b1-4)Glc(b1-</t>
  </si>
  <si>
    <t>G46083NH</t>
  </si>
  <si>
    <t>Gal(a1-3)Gal(b1-4)GlcNAc(b1-3)Gal(b1-4)Glc(b1-</t>
  </si>
  <si>
    <t>G60645OK</t>
  </si>
  <si>
    <t>G24432YB</t>
  </si>
  <si>
    <t>Gal(a1-3)Gal(b1-4)Gal(a1-3)Gal(b1-</t>
  </si>
  <si>
    <t>G23967TS</t>
  </si>
  <si>
    <t>Gal(a1-3)Gal-O-Me</t>
  </si>
  <si>
    <t>Disialosylpentaose (NeuAca2-3Galb-4Glcb1-1bGala2-3NeuAc)</t>
  </si>
  <si>
    <t>Fucα1-2Galβ1-4Fucα1-2Glcβ1</t>
  </si>
  <si>
    <t>G71885AB</t>
  </si>
  <si>
    <t>Mannotetraose Man(a1-3)[Man(a1-6)]Man(a1-6)Man(a1-</t>
  </si>
  <si>
    <t>GlcNAc(b1-4)GlcNAc(b1-4)GlcNAc(b1-4)GlcNAc(b1-4)GlcNAc(b1-4)GlcNAc(b1-</t>
  </si>
  <si>
    <t>G36414FS</t>
  </si>
  <si>
    <t>Fuc(a1-2)Gal(b1-3)GlcNAc(b1-3)Gal(b1-4)Glc(b1-</t>
  </si>
  <si>
    <t>GlcNAc(b1-4)GlcNAc(b1-4)GlcNAc(b1-4)GlcNAc(b1-</t>
  </si>
  <si>
    <t>Man(a1-2)Man(a1-2)Man(a1-3)[Man(a1-3)Man(a1-6)]Man(b1-4)GlcNAc(b1-4)GlcNAc(b1-</t>
  </si>
  <si>
    <t>G01361SX</t>
  </si>
  <si>
    <t>G83582BK</t>
  </si>
  <si>
    <t>Manα1-2Manα1-2Manα1-3[Manα1-2Manα1-6Manα1-6]Manβ1-4GlcNAcβ1-4GlcNAcβ1-</t>
  </si>
  <si>
    <t>G04414GO</t>
  </si>
  <si>
    <t>Manα-2Manα-2Manα-3[Manα-2Manα-3Manα-6]Manβ-4GlcNAcβ-4GlcNAc</t>
  </si>
  <si>
    <t>G04216GB</t>
  </si>
  <si>
    <t>OLI025</t>
  </si>
  <si>
    <t>Manα-3[Manα-6]Manα-6[Manα-3]Manβ-4GlcNAc</t>
  </si>
  <si>
    <t>Manα-2Manα-3[Manα-2Manα-6]Manα-6Manβ-4GlcNAcβ-4GlcNAc</t>
  </si>
  <si>
    <t>Manα-2Manα-2Manα-3[Manα-6Manα-6]Manβ-4GlcNAcβ-4GlcNAc</t>
  </si>
  <si>
    <t>Manα-3[Manα-6]Manα-6[Manα-2Manα-2Manα-3]Man</t>
  </si>
  <si>
    <t>Manα-2Manα-3[Manα-2Manα-6]Manα-6[Manα-2Manα-3]Man</t>
  </si>
  <si>
    <t>Manα-2Manα-3[Manα-2Manα-6]Manα-6[Manα-2Manα-2Manα-3]Man</t>
  </si>
  <si>
    <t>Manα-2Manα-3[Manα-6]Manα-6[Manα-2Manα-3]Man</t>
  </si>
  <si>
    <t>Manα-2Manα-6[Manα-3]Manα-6[Manα-2Manα-3]Man</t>
  </si>
  <si>
    <t>GlcNAc(b1-4)GlcNAc(b1-4)GlcNAc(b1-4)GlcNAc(b1-4)GlcNAc(b1-</t>
  </si>
  <si>
    <t>G67316RS</t>
  </si>
  <si>
    <t>G34861UP</t>
  </si>
  <si>
    <t>G81980VO</t>
  </si>
  <si>
    <t>G97314GK</t>
  </si>
  <si>
    <t>G28233ME</t>
  </si>
  <si>
    <t>G07670VS</t>
  </si>
  <si>
    <t>G09899NJ</t>
  </si>
  <si>
    <t>G48018RF</t>
  </si>
  <si>
    <t>G96568BM</t>
  </si>
  <si>
    <t>G55097CZ</t>
  </si>
  <si>
    <t>G41779GS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</si>
</sst>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Fill="1"/>
    <xf numFmtId="2" fontId="0" fillId="0" borderId="0" xfId="0" applyNumberFormat="1" applyFill="1"/>
    <xf numFmtId="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5DCA5-9A78-4856-8848-71061570E675}">
  <dimension ref="A1:I170"/>
  <sheetViews>
    <sheetView tabSelected="1" topLeftCell="C1" zoomScale="120" zoomScaleNormal="120" workbookViewId="0">
      <selection activeCell="G8" sqref="G8"/>
    </sheetView>
  </sheetViews>
  <sheetFormatPr defaultRowHeight="15" x14ac:dyDescent="0.25"/>
  <cols>
    <col min="2" max="2" width="106.5703125" customWidth="1"/>
    <col min="3" max="3" width="9.140625" style="2"/>
    <col min="5" max="5" width="9.140625" style="1"/>
    <col min="9" max="9" width="13.28515625" customWidth="1"/>
    <col min="10" max="10" width="11.85546875" customWidth="1"/>
  </cols>
  <sheetData>
    <row r="1" spans="1:9" x14ac:dyDescent="0.25">
      <c r="A1" t="s">
        <v>0</v>
      </c>
      <c r="B1" t="s">
        <v>1</v>
      </c>
      <c r="C1" s="2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12</v>
      </c>
      <c r="C2" s="2">
        <v>4486</v>
      </c>
      <c r="D2" t="s">
        <v>10</v>
      </c>
      <c r="E2" s="1">
        <v>1230</v>
      </c>
      <c r="F2">
        <v>4486</v>
      </c>
      <c r="G2">
        <v>0.22292000000000001</v>
      </c>
      <c r="H2">
        <v>6.1120000000000001E-2</v>
      </c>
      <c r="I2" t="s">
        <v>11</v>
      </c>
    </row>
    <row r="3" spans="1:9" x14ac:dyDescent="0.25">
      <c r="A3" t="s">
        <v>13</v>
      </c>
      <c r="B3" t="s">
        <v>16</v>
      </c>
      <c r="C3" s="2">
        <v>9871.4639999999999</v>
      </c>
      <c r="D3" t="s">
        <v>10</v>
      </c>
      <c r="E3" s="1">
        <f>1/(H3/100)</f>
        <v>9950.2487562189053</v>
      </c>
      <c r="F3">
        <v>9871</v>
      </c>
      <c r="G3">
        <v>0.1013</v>
      </c>
      <c r="H3">
        <f>0.01005</f>
        <v>1.005E-2</v>
      </c>
      <c r="I3" t="s">
        <v>15</v>
      </c>
    </row>
    <row r="4" spans="1:9" x14ac:dyDescent="0.25">
      <c r="A4" t="s">
        <v>14</v>
      </c>
      <c r="B4" t="s">
        <v>18</v>
      </c>
      <c r="C4" s="2">
        <v>5205.51</v>
      </c>
      <c r="D4" t="s">
        <v>10</v>
      </c>
      <c r="E4" s="1">
        <f>1/(H4/100)</f>
        <v>2601.4568158168572</v>
      </c>
      <c r="F4">
        <v>5206</v>
      </c>
      <c r="G4">
        <v>0.19209999999999999</v>
      </c>
      <c r="H4">
        <v>3.8440000000000002E-2</v>
      </c>
      <c r="I4" t="s">
        <v>17</v>
      </c>
    </row>
    <row r="5" spans="1:9" x14ac:dyDescent="0.25">
      <c r="A5" t="s">
        <v>19</v>
      </c>
      <c r="B5" t="s">
        <v>21</v>
      </c>
      <c r="C5" s="2">
        <v>3043</v>
      </c>
      <c r="D5" t="s">
        <v>10</v>
      </c>
      <c r="E5" s="1">
        <v>455</v>
      </c>
      <c r="F5">
        <v>3043</v>
      </c>
      <c r="G5">
        <v>0.23862</v>
      </c>
      <c r="H5">
        <v>4.9140000000000003E-2</v>
      </c>
      <c r="I5" t="s">
        <v>20</v>
      </c>
    </row>
    <row r="6" spans="1:9" x14ac:dyDescent="0.25">
      <c r="A6" t="s">
        <v>22</v>
      </c>
      <c r="B6" t="s">
        <v>23</v>
      </c>
      <c r="C6" s="2">
        <v>16806.312000000002</v>
      </c>
      <c r="D6" t="s">
        <v>10</v>
      </c>
      <c r="E6" s="1">
        <f>1/(H6/100)</f>
        <v>4679.4571829667757</v>
      </c>
      <c r="F6">
        <v>16806</v>
      </c>
      <c r="G6">
        <v>5.9499999999999997E-2</v>
      </c>
      <c r="H6">
        <v>2.137E-2</v>
      </c>
      <c r="I6" t="s">
        <v>25</v>
      </c>
    </row>
    <row r="7" spans="1:9" x14ac:dyDescent="0.25">
      <c r="A7" t="s">
        <v>24</v>
      </c>
      <c r="B7" t="s">
        <v>28</v>
      </c>
      <c r="C7" s="2">
        <v>0</v>
      </c>
      <c r="D7" t="s">
        <v>10</v>
      </c>
      <c r="E7" s="1">
        <v>0</v>
      </c>
      <c r="F7">
        <v>0</v>
      </c>
      <c r="G7">
        <v>0</v>
      </c>
      <c r="H7">
        <v>0</v>
      </c>
      <c r="I7" t="s">
        <v>29</v>
      </c>
    </row>
    <row r="8" spans="1:9" x14ac:dyDescent="0.25">
      <c r="A8" t="s">
        <v>26</v>
      </c>
      <c r="B8" t="s">
        <v>32</v>
      </c>
      <c r="C8" s="2">
        <v>1591</v>
      </c>
      <c r="D8" t="s">
        <v>10</v>
      </c>
      <c r="E8" s="1">
        <v>72</v>
      </c>
      <c r="F8">
        <v>1591</v>
      </c>
      <c r="G8">
        <v>0.62853999999999999</v>
      </c>
      <c r="H8">
        <v>2.844E-2</v>
      </c>
      <c r="I8" t="s">
        <v>27</v>
      </c>
    </row>
    <row r="9" spans="1:9" x14ac:dyDescent="0.25">
      <c r="A9" t="s">
        <v>30</v>
      </c>
      <c r="B9" t="s">
        <v>33</v>
      </c>
      <c r="C9" s="2">
        <v>2526</v>
      </c>
      <c r="D9" t="s">
        <v>10</v>
      </c>
      <c r="E9" s="1">
        <v>218</v>
      </c>
      <c r="F9">
        <v>2526</v>
      </c>
      <c r="G9">
        <f>1/F9*1000</f>
        <v>0.39588281868566905</v>
      </c>
      <c r="H9">
        <v>0.3417</v>
      </c>
      <c r="I9" t="s">
        <v>31</v>
      </c>
    </row>
    <row r="10" spans="1:9" x14ac:dyDescent="0.25">
      <c r="A10" t="s">
        <v>34</v>
      </c>
      <c r="B10" t="s">
        <v>35</v>
      </c>
      <c r="C10" s="2">
        <v>68632</v>
      </c>
      <c r="D10" t="s">
        <v>10</v>
      </c>
      <c r="E10" s="1">
        <f>1/(H10/100)</f>
        <v>11286.681715575622</v>
      </c>
      <c r="F10">
        <v>68632</v>
      </c>
      <c r="G10">
        <v>1.457E-2</v>
      </c>
      <c r="H10">
        <v>8.8599999999999998E-3</v>
      </c>
      <c r="I10" t="s">
        <v>36</v>
      </c>
    </row>
    <row r="11" spans="1:9" x14ac:dyDescent="0.25">
      <c r="A11" t="s">
        <v>37</v>
      </c>
      <c r="B11" t="s">
        <v>39</v>
      </c>
      <c r="C11" s="2">
        <v>0</v>
      </c>
      <c r="D11" t="s">
        <v>10</v>
      </c>
      <c r="E11" s="1">
        <v>0</v>
      </c>
      <c r="F11">
        <v>0</v>
      </c>
      <c r="G11">
        <v>0</v>
      </c>
      <c r="H11">
        <v>0</v>
      </c>
      <c r="I11" t="s">
        <v>38</v>
      </c>
    </row>
    <row r="12" spans="1:9" x14ac:dyDescent="0.25">
      <c r="A12" t="s">
        <v>40</v>
      </c>
      <c r="B12" t="s">
        <v>42</v>
      </c>
      <c r="C12" s="2">
        <v>0</v>
      </c>
      <c r="D12" t="s">
        <v>10</v>
      </c>
      <c r="E12" s="1">
        <v>0</v>
      </c>
      <c r="F12">
        <v>0</v>
      </c>
      <c r="G12">
        <v>0</v>
      </c>
      <c r="H12">
        <v>0</v>
      </c>
      <c r="I12" t="s">
        <v>41</v>
      </c>
    </row>
    <row r="13" spans="1:9" x14ac:dyDescent="0.25">
      <c r="A13" t="s">
        <v>43</v>
      </c>
      <c r="B13" t="s">
        <v>45</v>
      </c>
      <c r="C13" s="2">
        <v>6270.8270000000002</v>
      </c>
      <c r="D13" t="s">
        <v>10</v>
      </c>
      <c r="E13" s="1">
        <f>1/(H13/100)</f>
        <v>2540.0050800101599</v>
      </c>
      <c r="F13">
        <v>6271</v>
      </c>
      <c r="G13">
        <v>0.15947</v>
      </c>
      <c r="H13">
        <v>3.9370000000000002E-2</v>
      </c>
      <c r="I13" t="s">
        <v>44</v>
      </c>
    </row>
    <row r="14" spans="1:9" x14ac:dyDescent="0.25">
      <c r="A14" t="s">
        <v>46</v>
      </c>
      <c r="B14" t="s">
        <v>47</v>
      </c>
      <c r="C14" s="2">
        <v>1329</v>
      </c>
      <c r="D14" t="s">
        <v>10</v>
      </c>
      <c r="E14" s="1">
        <v>85</v>
      </c>
      <c r="F14">
        <v>1329</v>
      </c>
      <c r="G14" s="1">
        <v>0.75244999999999995</v>
      </c>
      <c r="H14">
        <v>4.8120000000000003E-2</v>
      </c>
      <c r="I14" t="s">
        <v>48</v>
      </c>
    </row>
    <row r="15" spans="1:9" x14ac:dyDescent="0.25">
      <c r="A15" t="s">
        <v>49</v>
      </c>
      <c r="B15" t="s">
        <v>51</v>
      </c>
      <c r="C15" s="2">
        <v>5406.1350000000002</v>
      </c>
      <c r="D15" t="s">
        <v>10</v>
      </c>
      <c r="E15" s="1">
        <f t="shared" ref="E15:E21" si="0">1/(H15/100)</f>
        <v>4514.6726862302485</v>
      </c>
      <c r="F15">
        <v>5406</v>
      </c>
      <c r="G15" s="1">
        <v>0.18498000000000001</v>
      </c>
      <c r="H15" s="1">
        <v>2.215E-2</v>
      </c>
      <c r="I15" t="s">
        <v>50</v>
      </c>
    </row>
    <row r="16" spans="1:9" x14ac:dyDescent="0.25">
      <c r="A16" t="s">
        <v>52</v>
      </c>
      <c r="B16" t="s">
        <v>53</v>
      </c>
      <c r="C16" s="2">
        <v>11263.86643</v>
      </c>
      <c r="D16" t="s">
        <v>10</v>
      </c>
      <c r="E16" s="1">
        <f t="shared" si="0"/>
        <v>4470.2726866338844</v>
      </c>
      <c r="F16">
        <v>11264</v>
      </c>
      <c r="G16" s="1">
        <v>8.8779999999999998E-2</v>
      </c>
      <c r="H16" s="1">
        <v>2.2370000000000001E-2</v>
      </c>
      <c r="I16" t="s">
        <v>54</v>
      </c>
    </row>
    <row r="17" spans="1:9" x14ac:dyDescent="0.25">
      <c r="A17" t="s">
        <v>55</v>
      </c>
      <c r="B17" t="s">
        <v>56</v>
      </c>
      <c r="C17" s="2">
        <v>5636</v>
      </c>
      <c r="D17" t="s">
        <v>10</v>
      </c>
      <c r="E17" s="1">
        <f t="shared" si="0"/>
        <v>1108.03324099723</v>
      </c>
      <c r="F17">
        <v>5636</v>
      </c>
      <c r="G17" s="1">
        <v>0.17743</v>
      </c>
      <c r="H17" s="1">
        <v>9.0249999999999997E-2</v>
      </c>
      <c r="I17" t="s">
        <v>57</v>
      </c>
    </row>
    <row r="18" spans="1:9" x14ac:dyDescent="0.25">
      <c r="A18" t="s">
        <v>58</v>
      </c>
      <c r="B18" t="s">
        <v>59</v>
      </c>
      <c r="C18" s="2">
        <v>4924</v>
      </c>
      <c r="D18" t="s">
        <v>10</v>
      </c>
      <c r="E18" s="1">
        <f t="shared" si="0"/>
        <v>1154.7344110854503</v>
      </c>
      <c r="F18">
        <v>4924</v>
      </c>
      <c r="G18" s="1">
        <v>0.20308999999999999</v>
      </c>
      <c r="H18" s="1">
        <v>8.6599999999999996E-2</v>
      </c>
      <c r="I18" t="s">
        <v>60</v>
      </c>
    </row>
    <row r="19" spans="1:9" x14ac:dyDescent="0.25">
      <c r="A19" t="s">
        <v>61</v>
      </c>
      <c r="B19" t="s">
        <v>62</v>
      </c>
      <c r="C19" s="2">
        <v>14703</v>
      </c>
      <c r="D19" t="s">
        <v>10</v>
      </c>
      <c r="E19" s="1">
        <f t="shared" si="0"/>
        <v>17035.775127768313</v>
      </c>
      <c r="F19">
        <v>14703</v>
      </c>
      <c r="G19" s="1">
        <v>6.8010000000000001E-2</v>
      </c>
      <c r="H19" s="1">
        <v>5.8700000000000002E-3</v>
      </c>
      <c r="I19" s="1" t="s">
        <v>423</v>
      </c>
    </row>
    <row r="20" spans="1:9" x14ac:dyDescent="0.25">
      <c r="A20" t="s">
        <v>63</v>
      </c>
      <c r="B20" t="s">
        <v>64</v>
      </c>
      <c r="C20" s="2">
        <v>21225</v>
      </c>
      <c r="D20" t="s">
        <v>10</v>
      </c>
      <c r="E20" s="1">
        <f t="shared" si="0"/>
        <v>14534.883720930235</v>
      </c>
      <c r="F20">
        <v>21225</v>
      </c>
      <c r="G20" s="1">
        <v>4.7109999999999999E-2</v>
      </c>
      <c r="H20" s="1">
        <v>6.8799999999999998E-3</v>
      </c>
      <c r="I20" t="s">
        <v>424</v>
      </c>
    </row>
    <row r="21" spans="1:9" x14ac:dyDescent="0.25">
      <c r="A21" t="s">
        <v>65</v>
      </c>
      <c r="B21" t="s">
        <v>66</v>
      </c>
      <c r="C21" s="2">
        <v>24129.78</v>
      </c>
      <c r="D21" t="s">
        <v>10</v>
      </c>
      <c r="E21" s="1">
        <f t="shared" si="0"/>
        <v>12004.801920768306</v>
      </c>
      <c r="F21">
        <v>24130</v>
      </c>
      <c r="G21" s="1">
        <v>4.1439999999999998E-2</v>
      </c>
      <c r="H21" s="1">
        <v>8.3300000000000006E-3</v>
      </c>
      <c r="I21" t="s">
        <v>67</v>
      </c>
    </row>
    <row r="22" spans="1:9" x14ac:dyDescent="0.25">
      <c r="A22" t="s">
        <v>68</v>
      </c>
      <c r="B22" t="s">
        <v>69</v>
      </c>
      <c r="C22" s="2">
        <v>2036.9</v>
      </c>
      <c r="D22" t="s">
        <v>10</v>
      </c>
      <c r="E22" s="1">
        <v>514</v>
      </c>
      <c r="F22">
        <v>2037</v>
      </c>
      <c r="G22" s="1">
        <v>0.49092000000000002</v>
      </c>
      <c r="H22" s="1">
        <v>0.12388</v>
      </c>
      <c r="I22" t="s">
        <v>70</v>
      </c>
    </row>
    <row r="23" spans="1:9" x14ac:dyDescent="0.25">
      <c r="A23" t="s">
        <v>71</v>
      </c>
      <c r="B23" t="s">
        <v>72</v>
      </c>
      <c r="C23" s="2">
        <v>4875.88</v>
      </c>
      <c r="D23" t="s">
        <v>10</v>
      </c>
      <c r="E23" s="1">
        <f>1/(H23/100)</f>
        <v>8445.9459459459449</v>
      </c>
      <c r="F23">
        <v>4876</v>
      </c>
      <c r="G23" s="1">
        <v>0.20508999999999999</v>
      </c>
      <c r="H23" s="1">
        <v>1.184E-2</v>
      </c>
      <c r="I23" t="s">
        <v>73</v>
      </c>
    </row>
    <row r="24" spans="1:9" x14ac:dyDescent="0.25">
      <c r="A24" t="s">
        <v>74</v>
      </c>
      <c r="B24" t="s">
        <v>75</v>
      </c>
      <c r="C24" s="2">
        <v>4254</v>
      </c>
      <c r="D24" t="s">
        <v>10</v>
      </c>
      <c r="E24" s="1">
        <f>1/(H24/100)</f>
        <v>2148.6892995272883</v>
      </c>
      <c r="F24">
        <v>4254</v>
      </c>
      <c r="G24" s="1">
        <v>0.23505999999999999</v>
      </c>
      <c r="H24" s="1">
        <v>4.6539999999999998E-2</v>
      </c>
      <c r="I24" t="s">
        <v>76</v>
      </c>
    </row>
    <row r="25" spans="1:9" x14ac:dyDescent="0.25">
      <c r="A25" t="s">
        <v>77</v>
      </c>
      <c r="B25" t="s">
        <v>78</v>
      </c>
      <c r="C25" s="2">
        <v>13496</v>
      </c>
      <c r="D25" t="s">
        <v>10</v>
      </c>
      <c r="E25" s="1">
        <f>1/(H25/100)</f>
        <v>7017.5438596491231</v>
      </c>
      <c r="F25">
        <v>13496</v>
      </c>
      <c r="G25" s="1">
        <v>7.4090000000000003E-2</v>
      </c>
      <c r="H25" s="1">
        <v>1.4250000000000001E-2</v>
      </c>
      <c r="I25" t="s">
        <v>20</v>
      </c>
    </row>
    <row r="26" spans="1:9" x14ac:dyDescent="0.25">
      <c r="A26" t="s">
        <v>79</v>
      </c>
      <c r="B26" t="s">
        <v>80</v>
      </c>
      <c r="C26" s="2">
        <v>6860</v>
      </c>
      <c r="D26" t="s">
        <v>10</v>
      </c>
      <c r="E26" s="1">
        <f>1/(H26/100)</f>
        <v>9425.0706880301605</v>
      </c>
      <c r="F26">
        <v>6860</v>
      </c>
      <c r="G26" s="1">
        <v>0.14576</v>
      </c>
      <c r="H26" s="1">
        <v>1.061E-2</v>
      </c>
      <c r="I26" t="s">
        <v>81</v>
      </c>
    </row>
    <row r="27" spans="1:9" x14ac:dyDescent="0.25">
      <c r="A27" t="s">
        <v>82</v>
      </c>
      <c r="B27" t="s">
        <v>83</v>
      </c>
      <c r="C27" s="2">
        <v>0</v>
      </c>
      <c r="D27" t="s">
        <v>10</v>
      </c>
      <c r="E27" s="1">
        <v>0</v>
      </c>
      <c r="F27">
        <v>0</v>
      </c>
      <c r="G27" s="1">
        <v>0</v>
      </c>
      <c r="H27" s="1">
        <v>0</v>
      </c>
      <c r="I27" t="s">
        <v>425</v>
      </c>
    </row>
    <row r="28" spans="1:9" x14ac:dyDescent="0.25">
      <c r="A28" t="s">
        <v>85</v>
      </c>
      <c r="B28" t="s">
        <v>86</v>
      </c>
      <c r="C28" s="2">
        <v>33477.08</v>
      </c>
      <c r="D28" t="s">
        <v>10</v>
      </c>
      <c r="E28" s="1">
        <f>1/(H28/100)</f>
        <v>4842.6150121065375</v>
      </c>
      <c r="F28">
        <v>33477</v>
      </c>
      <c r="G28">
        <v>2.9870000000000001E-2</v>
      </c>
      <c r="H28">
        <v>2.0650000000000002E-2</v>
      </c>
      <c r="I28" t="s">
        <v>87</v>
      </c>
    </row>
    <row r="29" spans="1:9" s="4" customFormat="1" x14ac:dyDescent="0.25">
      <c r="A29" s="4" t="s">
        <v>84</v>
      </c>
      <c r="B29" s="4" t="s">
        <v>448</v>
      </c>
      <c r="C29" s="5">
        <v>24807.98</v>
      </c>
      <c r="D29" s="4" t="s">
        <v>10</v>
      </c>
      <c r="E29" s="6">
        <f>1/(H29/100)</f>
        <v>3183.6994587710919</v>
      </c>
      <c r="F29" s="4">
        <v>24808</v>
      </c>
      <c r="G29" s="4">
        <v>4.0309999999999999E-2</v>
      </c>
      <c r="H29" s="4">
        <v>3.141E-2</v>
      </c>
      <c r="I29" s="4" t="s">
        <v>481</v>
      </c>
    </row>
    <row r="30" spans="1:9" x14ac:dyDescent="0.25">
      <c r="A30" t="s">
        <v>88</v>
      </c>
      <c r="B30" t="s">
        <v>89</v>
      </c>
      <c r="C30" s="2">
        <v>879.2</v>
      </c>
      <c r="D30" t="s">
        <v>10</v>
      </c>
      <c r="E30" s="1">
        <f>1/(H30/100)</f>
        <v>266.88017080330934</v>
      </c>
      <c r="F30">
        <v>879</v>
      </c>
      <c r="G30">
        <v>1.1372899999999999</v>
      </c>
      <c r="H30">
        <v>0.37469999999999998</v>
      </c>
      <c r="I30" t="s">
        <v>90</v>
      </c>
    </row>
    <row r="31" spans="1:9" x14ac:dyDescent="0.25">
      <c r="A31" t="s">
        <v>91</v>
      </c>
      <c r="B31" t="s">
        <v>92</v>
      </c>
      <c r="C31" s="2">
        <v>6287</v>
      </c>
      <c r="D31" t="s">
        <v>10</v>
      </c>
      <c r="E31" s="1">
        <f>1/(H31/100)</f>
        <v>1430.6151645207437</v>
      </c>
      <c r="F31">
        <v>6287</v>
      </c>
      <c r="G31">
        <v>0.15906000000000001</v>
      </c>
      <c r="H31">
        <v>6.9900000000000004E-2</v>
      </c>
      <c r="I31" t="s">
        <v>93</v>
      </c>
    </row>
    <row r="32" spans="1:9" x14ac:dyDescent="0.25">
      <c r="A32" t="s">
        <v>94</v>
      </c>
      <c r="B32" t="s">
        <v>95</v>
      </c>
      <c r="C32" s="2">
        <v>642</v>
      </c>
      <c r="D32" t="s">
        <v>10</v>
      </c>
      <c r="E32" s="1">
        <v>116</v>
      </c>
      <c r="F32">
        <v>642</v>
      </c>
      <c r="G32" s="1">
        <v>1.5576300000000001</v>
      </c>
      <c r="H32">
        <v>0.28144000000000002</v>
      </c>
      <c r="I32" t="s">
        <v>426</v>
      </c>
    </row>
    <row r="33" spans="1:9" x14ac:dyDescent="0.25">
      <c r="A33" t="s">
        <v>96</v>
      </c>
      <c r="B33" t="s">
        <v>97</v>
      </c>
      <c r="C33" s="2">
        <v>148.55000000000001</v>
      </c>
      <c r="D33" t="s">
        <v>10</v>
      </c>
      <c r="E33" s="1">
        <f>1/(H33/100)</f>
        <v>116.6384790342334</v>
      </c>
      <c r="F33">
        <v>149</v>
      </c>
      <c r="G33" s="1">
        <v>6.7314299999999996</v>
      </c>
      <c r="H33" s="1">
        <v>0.85734999999999995</v>
      </c>
      <c r="I33" t="s">
        <v>98</v>
      </c>
    </row>
    <row r="34" spans="1:9" x14ac:dyDescent="0.25">
      <c r="A34" t="s">
        <v>99</v>
      </c>
      <c r="B34" t="s">
        <v>100</v>
      </c>
      <c r="C34" s="2">
        <v>485.97</v>
      </c>
      <c r="D34" t="s">
        <v>10</v>
      </c>
      <c r="E34" s="1">
        <f>1/(H34/100)</f>
        <v>216.6612501354133</v>
      </c>
      <c r="F34">
        <v>489</v>
      </c>
      <c r="G34" s="1">
        <v>2.0577200000000002</v>
      </c>
      <c r="H34" s="1">
        <v>0.46155000000000002</v>
      </c>
      <c r="I34" t="s">
        <v>101</v>
      </c>
    </row>
    <row r="35" spans="1:9" x14ac:dyDescent="0.25">
      <c r="A35" t="s">
        <v>103</v>
      </c>
      <c r="B35" t="s">
        <v>104</v>
      </c>
      <c r="C35" s="2">
        <v>747</v>
      </c>
      <c r="D35" t="s">
        <v>10</v>
      </c>
      <c r="E35" s="1">
        <v>104</v>
      </c>
      <c r="F35">
        <v>747</v>
      </c>
      <c r="G35" s="1">
        <v>1.3386899999999999</v>
      </c>
      <c r="H35" s="1">
        <v>0.18637999999999999</v>
      </c>
      <c r="I35" t="s">
        <v>105</v>
      </c>
    </row>
    <row r="36" spans="1:9" x14ac:dyDescent="0.25">
      <c r="A36" t="s">
        <v>102</v>
      </c>
      <c r="B36" t="s">
        <v>106</v>
      </c>
      <c r="C36" s="2">
        <v>526.5</v>
      </c>
      <c r="D36" t="s">
        <v>10</v>
      </c>
      <c r="E36" s="1">
        <f>1/(H36/100)</f>
        <v>261.38324010664439</v>
      </c>
      <c r="F36">
        <v>527</v>
      </c>
      <c r="G36" s="1">
        <v>1.8992599999999999</v>
      </c>
      <c r="H36" s="1">
        <v>0.38257999999999998</v>
      </c>
      <c r="I36" t="s">
        <v>107</v>
      </c>
    </row>
    <row r="37" spans="1:9" x14ac:dyDescent="0.25">
      <c r="A37" t="s">
        <v>108</v>
      </c>
      <c r="B37" t="s">
        <v>109</v>
      </c>
      <c r="C37" s="2">
        <v>1005.44</v>
      </c>
      <c r="D37" t="s">
        <v>10</v>
      </c>
      <c r="E37" s="1">
        <f>1/(H37/100)</f>
        <v>143.11679761853651</v>
      </c>
      <c r="F37">
        <v>1005</v>
      </c>
      <c r="G37" s="1">
        <v>0.99458000000000002</v>
      </c>
      <c r="H37" s="1">
        <v>0.69872999999999996</v>
      </c>
      <c r="I37" t="s">
        <v>110</v>
      </c>
    </row>
    <row r="38" spans="1:9" x14ac:dyDescent="0.25">
      <c r="A38" t="s">
        <v>111</v>
      </c>
      <c r="B38" t="s">
        <v>112</v>
      </c>
      <c r="C38" s="2">
        <v>0</v>
      </c>
      <c r="D38" t="s">
        <v>10</v>
      </c>
      <c r="E38" s="1">
        <v>0</v>
      </c>
      <c r="F38">
        <v>0</v>
      </c>
      <c r="G38" s="1">
        <v>0</v>
      </c>
      <c r="H38" s="1">
        <v>0</v>
      </c>
      <c r="I38" t="s">
        <v>113</v>
      </c>
    </row>
    <row r="39" spans="1:9" x14ac:dyDescent="0.25">
      <c r="A39" t="s">
        <v>114</v>
      </c>
      <c r="B39" t="s">
        <v>115</v>
      </c>
      <c r="C39" s="2">
        <v>128.2466</v>
      </c>
      <c r="D39" t="s">
        <v>10</v>
      </c>
      <c r="E39" s="1">
        <f>1/(H39/100)</f>
        <v>31.551016415993843</v>
      </c>
      <c r="F39">
        <v>128</v>
      </c>
      <c r="G39">
        <v>7.7974800000000002</v>
      </c>
      <c r="H39">
        <v>3.16947</v>
      </c>
      <c r="I39" t="s">
        <v>116</v>
      </c>
    </row>
    <row r="40" spans="1:9" x14ac:dyDescent="0.25">
      <c r="A40" t="s">
        <v>117</v>
      </c>
      <c r="B40" t="s">
        <v>118</v>
      </c>
      <c r="C40" s="2">
        <v>1030</v>
      </c>
      <c r="D40" t="s">
        <v>10</v>
      </c>
      <c r="E40" s="1">
        <v>299</v>
      </c>
      <c r="F40">
        <v>1030</v>
      </c>
      <c r="G40">
        <v>0.97087000000000001</v>
      </c>
      <c r="H40">
        <v>0.28183999999999998</v>
      </c>
      <c r="I40" t="s">
        <v>119</v>
      </c>
    </row>
    <row r="41" spans="1:9" x14ac:dyDescent="0.25">
      <c r="A41" t="s">
        <v>120</v>
      </c>
      <c r="B41" t="s">
        <v>122</v>
      </c>
      <c r="C41" s="2">
        <v>318.86</v>
      </c>
      <c r="D41" t="s">
        <v>10</v>
      </c>
      <c r="E41" s="1">
        <f>1/(H41/100)</f>
        <v>196.53701774729271</v>
      </c>
      <c r="F41">
        <v>319</v>
      </c>
      <c r="G41">
        <v>3.1361699999999999</v>
      </c>
      <c r="H41">
        <v>0.50880999999999998</v>
      </c>
      <c r="I41" t="s">
        <v>121</v>
      </c>
    </row>
    <row r="42" spans="1:9" x14ac:dyDescent="0.25">
      <c r="A42" t="s">
        <v>123</v>
      </c>
      <c r="B42" t="s">
        <v>124</v>
      </c>
      <c r="C42" s="2">
        <v>1013.3</v>
      </c>
      <c r="D42" t="s">
        <v>10</v>
      </c>
      <c r="E42" s="1">
        <v>151</v>
      </c>
      <c r="F42">
        <v>1013</v>
      </c>
      <c r="G42">
        <v>0.98716999999999999</v>
      </c>
      <c r="H42">
        <v>0.14710999999999999</v>
      </c>
      <c r="I42" t="s">
        <v>125</v>
      </c>
    </row>
    <row r="43" spans="1:9" x14ac:dyDescent="0.25">
      <c r="A43" t="s">
        <v>126</v>
      </c>
      <c r="B43" t="s">
        <v>127</v>
      </c>
      <c r="C43" s="2">
        <v>131.04</v>
      </c>
      <c r="D43" t="s">
        <v>10</v>
      </c>
      <c r="E43" s="1">
        <v>11.7</v>
      </c>
      <c r="F43">
        <v>131</v>
      </c>
      <c r="G43">
        <v>7.6312600000000002</v>
      </c>
      <c r="H43">
        <v>0.68135999999999997</v>
      </c>
      <c r="I43" t="s">
        <v>128</v>
      </c>
    </row>
    <row r="44" spans="1:9" x14ac:dyDescent="0.25">
      <c r="A44" t="s">
        <v>129</v>
      </c>
      <c r="B44" t="s">
        <v>130</v>
      </c>
      <c r="C44" s="2">
        <v>1540.31</v>
      </c>
      <c r="D44" t="s">
        <v>10</v>
      </c>
      <c r="E44" s="1">
        <f>1/(H44/100)</f>
        <v>367.91758646063283</v>
      </c>
      <c r="F44">
        <v>1540</v>
      </c>
      <c r="G44">
        <v>0.64922000000000002</v>
      </c>
      <c r="H44">
        <v>0.27179999999999999</v>
      </c>
      <c r="I44" t="s">
        <v>131</v>
      </c>
    </row>
    <row r="45" spans="1:9" x14ac:dyDescent="0.25">
      <c r="A45" t="s">
        <v>132</v>
      </c>
      <c r="B45" t="s">
        <v>133</v>
      </c>
      <c r="C45" s="2">
        <v>51.586399999999998</v>
      </c>
      <c r="D45" t="s">
        <v>10</v>
      </c>
      <c r="E45" s="1">
        <f>1/(H45/100)</f>
        <v>32.433624587282132</v>
      </c>
      <c r="F45">
        <v>52</v>
      </c>
      <c r="G45">
        <v>19.384899999999998</v>
      </c>
      <c r="H45">
        <v>3.0832199999999998</v>
      </c>
      <c r="I45" t="s">
        <v>134</v>
      </c>
    </row>
    <row r="46" spans="1:9" x14ac:dyDescent="0.25">
      <c r="A46" t="s">
        <v>135</v>
      </c>
      <c r="B46" t="s">
        <v>136</v>
      </c>
      <c r="C46" s="2">
        <v>92</v>
      </c>
      <c r="D46" t="s">
        <v>10</v>
      </c>
      <c r="E46" s="1">
        <v>24</v>
      </c>
      <c r="F46">
        <v>92</v>
      </c>
      <c r="G46">
        <v>10.8696</v>
      </c>
      <c r="H46">
        <v>2.8355399999999999</v>
      </c>
      <c r="I46" t="s">
        <v>137</v>
      </c>
    </row>
    <row r="47" spans="1:9" x14ac:dyDescent="0.25">
      <c r="A47" t="s">
        <v>138</v>
      </c>
      <c r="B47" t="s">
        <v>139</v>
      </c>
      <c r="C47" s="2">
        <v>245.6</v>
      </c>
      <c r="D47" t="s">
        <v>10</v>
      </c>
      <c r="E47" s="1">
        <v>19.2</v>
      </c>
      <c r="F47">
        <v>246</v>
      </c>
      <c r="G47">
        <v>4.0716599999999996</v>
      </c>
      <c r="H47">
        <v>0.31830999999999998</v>
      </c>
      <c r="I47" t="s">
        <v>427</v>
      </c>
    </row>
    <row r="48" spans="1:9" x14ac:dyDescent="0.25">
      <c r="A48" t="s">
        <v>140</v>
      </c>
      <c r="B48" t="s">
        <v>141</v>
      </c>
      <c r="C48" s="2">
        <v>982.63300000000004</v>
      </c>
      <c r="D48" t="s">
        <v>10</v>
      </c>
      <c r="E48" s="1">
        <f>1/(H48/100)</f>
        <v>207.74472328402857</v>
      </c>
      <c r="F48">
        <v>983</v>
      </c>
      <c r="G48">
        <v>1.0176700000000001</v>
      </c>
      <c r="H48">
        <v>0.48136000000000001</v>
      </c>
      <c r="I48" t="s">
        <v>142</v>
      </c>
    </row>
    <row r="49" spans="1:9" x14ac:dyDescent="0.25">
      <c r="A49" t="s">
        <v>143</v>
      </c>
      <c r="B49" t="s">
        <v>144</v>
      </c>
      <c r="C49" s="2">
        <v>0</v>
      </c>
      <c r="D49" t="s">
        <v>10</v>
      </c>
      <c r="E49" s="1">
        <v>0</v>
      </c>
      <c r="F49">
        <v>0</v>
      </c>
      <c r="G49">
        <v>0</v>
      </c>
      <c r="H49">
        <v>0</v>
      </c>
      <c r="I49" t="s">
        <v>145</v>
      </c>
    </row>
    <row r="50" spans="1:9" x14ac:dyDescent="0.25">
      <c r="A50" t="s">
        <v>146</v>
      </c>
      <c r="B50" t="s">
        <v>147</v>
      </c>
      <c r="C50" s="2">
        <v>551</v>
      </c>
      <c r="D50" t="s">
        <v>10</v>
      </c>
      <c r="E50" s="1">
        <v>73</v>
      </c>
      <c r="F50">
        <v>551</v>
      </c>
      <c r="G50">
        <v>1.81488</v>
      </c>
      <c r="H50">
        <v>0.24045</v>
      </c>
      <c r="I50" t="s">
        <v>148</v>
      </c>
    </row>
    <row r="51" spans="1:9" x14ac:dyDescent="0.25">
      <c r="A51" t="s">
        <v>149</v>
      </c>
      <c r="B51" t="s">
        <v>150</v>
      </c>
      <c r="C51" s="2">
        <v>866</v>
      </c>
      <c r="D51" t="s">
        <v>10</v>
      </c>
      <c r="E51" s="1">
        <v>213</v>
      </c>
      <c r="F51">
        <v>866</v>
      </c>
      <c r="G51">
        <v>1.15473</v>
      </c>
      <c r="H51">
        <v>0.28401999999999999</v>
      </c>
      <c r="I51" t="s">
        <v>151</v>
      </c>
    </row>
    <row r="52" spans="1:9" x14ac:dyDescent="0.25">
      <c r="A52" t="s">
        <v>152</v>
      </c>
      <c r="B52" t="s">
        <v>153</v>
      </c>
      <c r="C52" s="2">
        <v>1676.35</v>
      </c>
      <c r="D52" t="s">
        <v>10</v>
      </c>
      <c r="E52" s="1">
        <f>1/(H52/100)</f>
        <v>434.32939541348156</v>
      </c>
      <c r="F52">
        <v>1676</v>
      </c>
      <c r="G52">
        <v>0.59653</v>
      </c>
      <c r="H52">
        <v>0.23024</v>
      </c>
      <c r="I52" t="s">
        <v>154</v>
      </c>
    </row>
    <row r="53" spans="1:9" x14ac:dyDescent="0.25">
      <c r="A53" t="s">
        <v>155</v>
      </c>
      <c r="B53" t="s">
        <v>156</v>
      </c>
      <c r="C53" s="2">
        <v>733.88</v>
      </c>
      <c r="D53" t="s">
        <v>10</v>
      </c>
      <c r="E53" s="1">
        <v>159</v>
      </c>
      <c r="F53">
        <v>734</v>
      </c>
      <c r="G53">
        <v>1.3626199999999999</v>
      </c>
      <c r="H53">
        <v>0.29521999999999998</v>
      </c>
      <c r="I53" t="s">
        <v>157</v>
      </c>
    </row>
    <row r="54" spans="1:9" x14ac:dyDescent="0.25">
      <c r="A54" t="s">
        <v>158</v>
      </c>
      <c r="B54" t="s">
        <v>159</v>
      </c>
      <c r="C54" s="2">
        <v>0</v>
      </c>
      <c r="D54" t="s">
        <v>10</v>
      </c>
      <c r="E54" s="1">
        <v>0</v>
      </c>
      <c r="F54">
        <v>0</v>
      </c>
      <c r="G54">
        <v>0</v>
      </c>
      <c r="H54">
        <v>0</v>
      </c>
      <c r="I54" t="s">
        <v>160</v>
      </c>
    </row>
    <row r="55" spans="1:9" x14ac:dyDescent="0.25">
      <c r="A55" t="s">
        <v>161</v>
      </c>
      <c r="B55" t="s">
        <v>162</v>
      </c>
      <c r="C55" s="2">
        <v>842.56899999999996</v>
      </c>
      <c r="D55" t="s">
        <v>10</v>
      </c>
      <c r="E55" s="1">
        <f>1/(H55/100)</f>
        <v>308.89939146819876</v>
      </c>
      <c r="F55">
        <v>843</v>
      </c>
      <c r="G55">
        <v>1.18685</v>
      </c>
      <c r="H55">
        <v>0.32373000000000002</v>
      </c>
      <c r="I55" t="s">
        <v>163</v>
      </c>
    </row>
    <row r="56" spans="1:9" x14ac:dyDescent="0.25">
      <c r="A56" t="s">
        <v>164</v>
      </c>
      <c r="B56" t="s">
        <v>165</v>
      </c>
      <c r="C56" s="2">
        <v>889.67</v>
      </c>
      <c r="D56" t="s">
        <v>10</v>
      </c>
      <c r="E56" s="1">
        <f>1/(H56/100)</f>
        <v>229.07408255829935</v>
      </c>
      <c r="F56">
        <v>890</v>
      </c>
      <c r="G56">
        <v>1.12401</v>
      </c>
      <c r="H56">
        <v>0.43653999999999998</v>
      </c>
      <c r="I56" t="s">
        <v>166</v>
      </c>
    </row>
    <row r="57" spans="1:9" x14ac:dyDescent="0.25">
      <c r="A57" t="s">
        <v>167</v>
      </c>
      <c r="B57" t="s">
        <v>168</v>
      </c>
      <c r="C57" s="2">
        <v>19516.91</v>
      </c>
      <c r="D57" t="s">
        <v>10</v>
      </c>
      <c r="E57" s="1">
        <f>1/(H57/100)</f>
        <v>1273.0744748567793</v>
      </c>
      <c r="F57">
        <v>19517</v>
      </c>
      <c r="G57">
        <v>5.1240000000000001E-2</v>
      </c>
      <c r="H57">
        <v>7.8549999999999995E-2</v>
      </c>
      <c r="I57" t="s">
        <v>169</v>
      </c>
    </row>
    <row r="58" spans="1:9" x14ac:dyDescent="0.25">
      <c r="A58" t="s">
        <v>170</v>
      </c>
      <c r="B58" t="s">
        <v>171</v>
      </c>
      <c r="C58" s="2">
        <v>1180.43</v>
      </c>
      <c r="D58" t="s">
        <v>10</v>
      </c>
      <c r="E58" s="1">
        <f>1/(H58/100)</f>
        <v>250.50727723640375</v>
      </c>
      <c r="F58">
        <v>1180</v>
      </c>
      <c r="G58">
        <v>0.84714999999999996</v>
      </c>
      <c r="H58">
        <v>0.39918999999999999</v>
      </c>
      <c r="I58" t="s">
        <v>172</v>
      </c>
    </row>
    <row r="59" spans="1:9" x14ac:dyDescent="0.25">
      <c r="A59" t="s">
        <v>173</v>
      </c>
      <c r="B59" t="s">
        <v>174</v>
      </c>
      <c r="C59" s="2">
        <v>455</v>
      </c>
      <c r="D59" t="s">
        <v>10</v>
      </c>
      <c r="E59" s="1">
        <f>1/(H59/100)</f>
        <v>133.35644845106484</v>
      </c>
      <c r="F59">
        <v>455</v>
      </c>
      <c r="G59">
        <v>2.1976200000000001</v>
      </c>
      <c r="H59">
        <v>0.74987000000000004</v>
      </c>
      <c r="I59" t="s">
        <v>175</v>
      </c>
    </row>
    <row r="60" spans="1:9" x14ac:dyDescent="0.25">
      <c r="A60" t="s">
        <v>176</v>
      </c>
      <c r="B60" t="s">
        <v>177</v>
      </c>
      <c r="C60" s="2">
        <v>0</v>
      </c>
      <c r="D60" t="s">
        <v>10</v>
      </c>
      <c r="E60" s="1">
        <v>0</v>
      </c>
      <c r="F60">
        <v>0</v>
      </c>
      <c r="G60">
        <v>0</v>
      </c>
      <c r="H60">
        <v>0</v>
      </c>
      <c r="I60" t="s">
        <v>178</v>
      </c>
    </row>
    <row r="61" spans="1:9" x14ac:dyDescent="0.25">
      <c r="A61" t="s">
        <v>179</v>
      </c>
      <c r="B61" t="s">
        <v>180</v>
      </c>
      <c r="C61" s="2">
        <v>0</v>
      </c>
      <c r="D61" t="s">
        <v>10</v>
      </c>
      <c r="E61" s="1">
        <v>0</v>
      </c>
      <c r="F61">
        <v>0</v>
      </c>
      <c r="G61">
        <v>0</v>
      </c>
      <c r="H61">
        <v>0</v>
      </c>
      <c r="I61" t="s">
        <v>181</v>
      </c>
    </row>
    <row r="62" spans="1:9" x14ac:dyDescent="0.25">
      <c r="A62" t="s">
        <v>182</v>
      </c>
      <c r="B62" t="s">
        <v>183</v>
      </c>
      <c r="C62" s="2">
        <v>703</v>
      </c>
      <c r="D62" t="s">
        <v>10</v>
      </c>
      <c r="E62" s="1">
        <v>95</v>
      </c>
      <c r="F62">
        <v>703</v>
      </c>
      <c r="G62">
        <v>1.42248</v>
      </c>
      <c r="H62">
        <v>0.19223000000000001</v>
      </c>
      <c r="I62" t="s">
        <v>184</v>
      </c>
    </row>
    <row r="63" spans="1:9" x14ac:dyDescent="0.25">
      <c r="A63" t="s">
        <v>185</v>
      </c>
      <c r="B63" t="s">
        <v>186</v>
      </c>
      <c r="C63" s="2">
        <v>14307</v>
      </c>
      <c r="D63" t="s">
        <v>10</v>
      </c>
      <c r="E63" s="1">
        <f>1/(H63/100)</f>
        <v>970.87378640776706</v>
      </c>
      <c r="F63">
        <v>14307</v>
      </c>
      <c r="G63">
        <v>6.9889999999999994E-2</v>
      </c>
      <c r="H63">
        <v>0.10299999999999999</v>
      </c>
      <c r="I63" t="s">
        <v>187</v>
      </c>
    </row>
    <row r="64" spans="1:9" x14ac:dyDescent="0.25">
      <c r="A64" t="s">
        <v>188</v>
      </c>
      <c r="B64" t="s">
        <v>189</v>
      </c>
      <c r="C64" s="2">
        <v>2727</v>
      </c>
      <c r="D64" t="s">
        <v>10</v>
      </c>
      <c r="E64" s="1">
        <f>1/(H64/100)</f>
        <v>337.32501264968795</v>
      </c>
      <c r="F64">
        <v>2727</v>
      </c>
      <c r="G64">
        <v>0.36665999999999999</v>
      </c>
      <c r="H64">
        <v>0.29644999999999999</v>
      </c>
      <c r="I64" t="s">
        <v>190</v>
      </c>
    </row>
    <row r="65" spans="1:9" x14ac:dyDescent="0.25">
      <c r="A65" t="s">
        <v>191</v>
      </c>
      <c r="B65" t="s">
        <v>192</v>
      </c>
      <c r="C65" s="2">
        <v>1759</v>
      </c>
      <c r="D65" t="s">
        <v>10</v>
      </c>
      <c r="E65" s="1">
        <v>384</v>
      </c>
      <c r="F65">
        <v>1759</v>
      </c>
      <c r="G65">
        <v>0.56850000000000001</v>
      </c>
      <c r="H65">
        <v>0.12411</v>
      </c>
      <c r="I65" t="s">
        <v>193</v>
      </c>
    </row>
    <row r="66" spans="1:9" x14ac:dyDescent="0.25">
      <c r="A66" t="s">
        <v>194</v>
      </c>
      <c r="B66" t="s">
        <v>195</v>
      </c>
      <c r="C66" s="2">
        <v>753</v>
      </c>
      <c r="D66" t="s">
        <v>10</v>
      </c>
      <c r="E66" s="1">
        <f>1/(H66/100)</f>
        <v>205.46115756816172</v>
      </c>
      <c r="F66">
        <v>753</v>
      </c>
      <c r="G66">
        <v>1.32778</v>
      </c>
      <c r="H66">
        <v>0.48670999999999998</v>
      </c>
      <c r="I66" t="s">
        <v>196</v>
      </c>
    </row>
    <row r="67" spans="1:9" x14ac:dyDescent="0.25">
      <c r="A67" t="s">
        <v>197</v>
      </c>
      <c r="B67" t="s">
        <v>198</v>
      </c>
      <c r="C67" s="2">
        <v>532</v>
      </c>
      <c r="D67" t="s">
        <v>10</v>
      </c>
      <c r="E67" s="1">
        <f>1/(H67/100)</f>
        <v>75.763889415027009</v>
      </c>
      <c r="F67">
        <v>532</v>
      </c>
      <c r="G67">
        <v>1.87931</v>
      </c>
      <c r="H67">
        <v>1.31989</v>
      </c>
      <c r="I67" t="s">
        <v>428</v>
      </c>
    </row>
    <row r="68" spans="1:9" x14ac:dyDescent="0.25">
      <c r="A68" t="s">
        <v>199</v>
      </c>
      <c r="B68" t="s">
        <v>449</v>
      </c>
      <c r="C68" s="2">
        <v>11127.69</v>
      </c>
      <c r="D68" t="s">
        <v>10</v>
      </c>
      <c r="E68" s="1">
        <f>1/(H68/100)</f>
        <v>689.70273811987033</v>
      </c>
      <c r="F68">
        <v>11128</v>
      </c>
      <c r="G68">
        <v>8.9870000000000005E-2</v>
      </c>
      <c r="H68">
        <v>0.14499000000000001</v>
      </c>
      <c r="I68" t="s">
        <v>202</v>
      </c>
    </row>
    <row r="69" spans="1:9" x14ac:dyDescent="0.25">
      <c r="A69" t="s">
        <v>200</v>
      </c>
      <c r="B69" t="s">
        <v>201</v>
      </c>
      <c r="C69" s="2">
        <v>6315.44</v>
      </c>
      <c r="D69" t="s">
        <v>10</v>
      </c>
      <c r="E69" s="1">
        <f>1/(H69/100)</f>
        <v>461.04195481788844</v>
      </c>
      <c r="F69">
        <v>6315</v>
      </c>
      <c r="G69">
        <v>0.15834000000000001</v>
      </c>
      <c r="H69">
        <v>0.21690000000000001</v>
      </c>
      <c r="I69" t="s">
        <v>202</v>
      </c>
    </row>
    <row r="70" spans="1:9" x14ac:dyDescent="0.25">
      <c r="A70" t="s">
        <v>203</v>
      </c>
      <c r="B70" t="s">
        <v>204</v>
      </c>
      <c r="C70" s="2">
        <v>0</v>
      </c>
      <c r="D70" t="s">
        <v>10</v>
      </c>
      <c r="E70" s="1">
        <v>0</v>
      </c>
      <c r="F70">
        <v>0</v>
      </c>
      <c r="G70">
        <v>0</v>
      </c>
      <c r="H70">
        <v>0</v>
      </c>
      <c r="I70" t="s">
        <v>205</v>
      </c>
    </row>
    <row r="71" spans="1:9" x14ac:dyDescent="0.25">
      <c r="A71" t="s">
        <v>206</v>
      </c>
      <c r="B71" t="s">
        <v>207</v>
      </c>
      <c r="C71" s="2">
        <v>0</v>
      </c>
      <c r="D71" t="s">
        <v>10</v>
      </c>
      <c r="E71" s="1">
        <v>0</v>
      </c>
      <c r="F71">
        <v>0</v>
      </c>
      <c r="G71">
        <v>0</v>
      </c>
      <c r="H71">
        <v>0</v>
      </c>
      <c r="I71" t="s">
        <v>113</v>
      </c>
    </row>
    <row r="72" spans="1:9" x14ac:dyDescent="0.25">
      <c r="A72" t="s">
        <v>208</v>
      </c>
      <c r="B72" t="s">
        <v>209</v>
      </c>
      <c r="C72" s="2">
        <v>2794.8980000000001</v>
      </c>
      <c r="D72" t="s">
        <v>10</v>
      </c>
      <c r="E72" s="1">
        <f>1/(H72/100)</f>
        <v>689.36991589687022</v>
      </c>
      <c r="F72">
        <v>2795</v>
      </c>
      <c r="G72">
        <v>0.35779</v>
      </c>
      <c r="H72">
        <v>0.14505999999999999</v>
      </c>
      <c r="I72" t="s">
        <v>429</v>
      </c>
    </row>
    <row r="73" spans="1:9" x14ac:dyDescent="0.25">
      <c r="A73" t="s">
        <v>210</v>
      </c>
      <c r="B73" t="s">
        <v>451</v>
      </c>
      <c r="C73" s="2">
        <v>1462.25</v>
      </c>
      <c r="D73" t="s">
        <v>10</v>
      </c>
      <c r="E73" s="1">
        <f>1/(H73/100)</f>
        <v>522.95784959732248</v>
      </c>
      <c r="F73">
        <v>1462</v>
      </c>
      <c r="G73">
        <v>0.68386999999999998</v>
      </c>
      <c r="H73">
        <v>0.19122</v>
      </c>
      <c r="I73" t="s">
        <v>450</v>
      </c>
    </row>
    <row r="74" spans="1:9" x14ac:dyDescent="0.25">
      <c r="A74" t="s">
        <v>211</v>
      </c>
      <c r="B74" t="s">
        <v>212</v>
      </c>
      <c r="C74" s="2">
        <v>1230</v>
      </c>
      <c r="D74" t="s">
        <v>10</v>
      </c>
      <c r="E74" s="1">
        <v>508</v>
      </c>
      <c r="F74">
        <v>1230</v>
      </c>
      <c r="G74">
        <v>0.81301000000000001</v>
      </c>
      <c r="H74">
        <v>0.33578000000000002</v>
      </c>
      <c r="I74" t="s">
        <v>213</v>
      </c>
    </row>
    <row r="75" spans="1:9" x14ac:dyDescent="0.25">
      <c r="A75" t="s">
        <v>214</v>
      </c>
      <c r="B75" t="s">
        <v>215</v>
      </c>
      <c r="C75" s="2">
        <v>190.87</v>
      </c>
      <c r="D75" t="s">
        <v>10</v>
      </c>
      <c r="E75" s="1">
        <v>23.8</v>
      </c>
      <c r="F75">
        <v>191</v>
      </c>
      <c r="G75">
        <v>5.2391699999999997</v>
      </c>
      <c r="H75">
        <v>0.65327999999999997</v>
      </c>
      <c r="I75" t="s">
        <v>216</v>
      </c>
    </row>
    <row r="76" spans="1:9" x14ac:dyDescent="0.25">
      <c r="A76" t="s">
        <v>217</v>
      </c>
      <c r="B76" t="s">
        <v>218</v>
      </c>
      <c r="C76" s="2">
        <v>1759.4</v>
      </c>
      <c r="D76" t="s">
        <v>10</v>
      </c>
      <c r="E76" s="1">
        <f t="shared" ref="E76:E82" si="1">1/(H76/100)</f>
        <v>592.76822762299946</v>
      </c>
      <c r="F76">
        <v>17559</v>
      </c>
      <c r="G76">
        <v>0.56837000000000004</v>
      </c>
      <c r="H76">
        <v>0.16869999999999999</v>
      </c>
      <c r="I76" t="s">
        <v>430</v>
      </c>
    </row>
    <row r="77" spans="1:9" x14ac:dyDescent="0.25">
      <c r="A77" t="s">
        <v>219</v>
      </c>
      <c r="B77" t="s">
        <v>220</v>
      </c>
      <c r="C77" s="2">
        <v>629.73</v>
      </c>
      <c r="D77" t="s">
        <v>10</v>
      </c>
      <c r="E77" s="1">
        <f t="shared" si="1"/>
        <v>136.32335900756595</v>
      </c>
      <c r="F77">
        <v>630</v>
      </c>
      <c r="G77">
        <v>1.5879799999999999</v>
      </c>
      <c r="H77">
        <v>0.73355000000000004</v>
      </c>
      <c r="I77" t="s">
        <v>221</v>
      </c>
    </row>
    <row r="78" spans="1:9" x14ac:dyDescent="0.25">
      <c r="A78" t="s">
        <v>222</v>
      </c>
      <c r="B78" t="s">
        <v>223</v>
      </c>
      <c r="C78" s="2">
        <v>15031.944</v>
      </c>
      <c r="D78" t="s">
        <v>10</v>
      </c>
      <c r="E78" s="1">
        <f t="shared" si="1"/>
        <v>811.75420082798928</v>
      </c>
      <c r="F78">
        <v>15032</v>
      </c>
      <c r="G78">
        <v>6.6519999999999996E-2</v>
      </c>
      <c r="H78">
        <v>0.12318999999999999</v>
      </c>
      <c r="I78" t="s">
        <v>224</v>
      </c>
    </row>
    <row r="79" spans="1:9" x14ac:dyDescent="0.25">
      <c r="A79" t="s">
        <v>225</v>
      </c>
      <c r="B79" t="s">
        <v>226</v>
      </c>
      <c r="C79" s="2">
        <v>916</v>
      </c>
      <c r="D79" t="s">
        <v>10</v>
      </c>
      <c r="E79" s="1">
        <f t="shared" si="1"/>
        <v>221.06287028030772</v>
      </c>
      <c r="F79">
        <v>916</v>
      </c>
      <c r="G79">
        <v>1.09169</v>
      </c>
      <c r="H79">
        <v>0.45235999999999998</v>
      </c>
      <c r="I79" t="s">
        <v>227</v>
      </c>
    </row>
    <row r="80" spans="1:9" x14ac:dyDescent="0.25">
      <c r="A80" t="s">
        <v>228</v>
      </c>
      <c r="B80" t="s">
        <v>229</v>
      </c>
      <c r="C80" s="2">
        <v>16220.76</v>
      </c>
      <c r="D80" t="s">
        <v>10</v>
      </c>
      <c r="E80" s="1">
        <f t="shared" si="1"/>
        <v>1060.3329445445868</v>
      </c>
      <c r="F80">
        <v>16221</v>
      </c>
      <c r="G80">
        <v>6.1650000000000003E-2</v>
      </c>
      <c r="H80">
        <v>9.4310000000000005E-2</v>
      </c>
      <c r="I80" t="s">
        <v>230</v>
      </c>
    </row>
    <row r="81" spans="1:9" x14ac:dyDescent="0.25">
      <c r="A81" t="s">
        <v>231</v>
      </c>
      <c r="B81" t="s">
        <v>232</v>
      </c>
      <c r="C81" s="2">
        <v>6718.29</v>
      </c>
      <c r="D81" t="s">
        <v>10</v>
      </c>
      <c r="E81" s="1">
        <f t="shared" si="1"/>
        <v>616.82704169750809</v>
      </c>
      <c r="F81">
        <v>6718</v>
      </c>
      <c r="G81">
        <v>0.14885000000000001</v>
      </c>
      <c r="H81">
        <v>0.16211999999999999</v>
      </c>
      <c r="I81" t="s">
        <v>233</v>
      </c>
    </row>
    <row r="82" spans="1:9" x14ac:dyDescent="0.25">
      <c r="A82" t="s">
        <v>234</v>
      </c>
      <c r="B82" t="s">
        <v>235</v>
      </c>
      <c r="C82" s="2">
        <v>1394.627</v>
      </c>
      <c r="D82" t="s">
        <v>10</v>
      </c>
      <c r="E82" s="1">
        <f t="shared" si="1"/>
        <v>292.37201415080551</v>
      </c>
      <c r="F82">
        <v>1395</v>
      </c>
      <c r="G82">
        <v>0.71704000000000001</v>
      </c>
      <c r="H82">
        <v>0.34203</v>
      </c>
      <c r="I82" t="s">
        <v>236</v>
      </c>
    </row>
    <row r="83" spans="1:9" x14ac:dyDescent="0.25">
      <c r="A83" t="s">
        <v>237</v>
      </c>
      <c r="B83" t="s">
        <v>238</v>
      </c>
      <c r="C83" s="2">
        <v>382</v>
      </c>
      <c r="D83" t="s">
        <v>10</v>
      </c>
      <c r="E83" s="1">
        <v>68</v>
      </c>
      <c r="F83">
        <v>382</v>
      </c>
      <c r="G83">
        <v>2.6177999999999999</v>
      </c>
      <c r="H83">
        <v>0.46600000000000003</v>
      </c>
      <c r="I83" t="s">
        <v>239</v>
      </c>
    </row>
    <row r="84" spans="1:9" x14ac:dyDescent="0.25">
      <c r="A84" t="s">
        <v>240</v>
      </c>
      <c r="B84" t="s">
        <v>241</v>
      </c>
      <c r="C84" s="2">
        <v>0</v>
      </c>
      <c r="D84" t="s">
        <v>10</v>
      </c>
      <c r="E84" s="1">
        <v>0</v>
      </c>
      <c r="F84">
        <v>0</v>
      </c>
      <c r="G84">
        <v>0</v>
      </c>
      <c r="H84">
        <v>0</v>
      </c>
      <c r="I84" t="s">
        <v>242</v>
      </c>
    </row>
    <row r="85" spans="1:9" x14ac:dyDescent="0.25">
      <c r="A85" t="s">
        <v>243</v>
      </c>
      <c r="B85" t="s">
        <v>180</v>
      </c>
      <c r="C85" s="2">
        <v>6311.9889999999996</v>
      </c>
      <c r="D85" t="s">
        <v>10</v>
      </c>
      <c r="E85" s="1">
        <f>1/(H85/100)</f>
        <v>1352.8138528138529</v>
      </c>
      <c r="F85">
        <v>6312</v>
      </c>
      <c r="G85">
        <v>0.15842999999999999</v>
      </c>
      <c r="H85">
        <v>7.392E-2</v>
      </c>
      <c r="I85" t="s">
        <v>244</v>
      </c>
    </row>
    <row r="86" spans="1:9" x14ac:dyDescent="0.25">
      <c r="A86" t="s">
        <v>245</v>
      </c>
      <c r="B86" t="s">
        <v>246</v>
      </c>
      <c r="C86" s="2">
        <v>7025.5550000000003</v>
      </c>
      <c r="D86" t="s">
        <v>10</v>
      </c>
      <c r="E86" s="1">
        <f>1/(H86/100)</f>
        <v>1515.8405335758678</v>
      </c>
      <c r="F86">
        <v>7026</v>
      </c>
      <c r="G86">
        <v>0.14233999999999999</v>
      </c>
      <c r="H86">
        <v>6.5970000000000001E-2</v>
      </c>
      <c r="I86" t="s">
        <v>247</v>
      </c>
    </row>
    <row r="87" spans="1:9" x14ac:dyDescent="0.25">
      <c r="A87" t="s">
        <v>248</v>
      </c>
      <c r="B87" t="s">
        <v>452</v>
      </c>
      <c r="C87" s="2">
        <v>4233.2529999999997</v>
      </c>
      <c r="D87" t="s">
        <v>10</v>
      </c>
      <c r="E87" s="1">
        <f>1/(H87/100)</f>
        <v>810.63553826199734</v>
      </c>
      <c r="F87">
        <v>4233</v>
      </c>
      <c r="G87">
        <v>0.23622000000000001</v>
      </c>
      <c r="H87">
        <v>0.12336</v>
      </c>
      <c r="I87" t="s">
        <v>453</v>
      </c>
    </row>
    <row r="88" spans="1:9" x14ac:dyDescent="0.25">
      <c r="A88" t="s">
        <v>249</v>
      </c>
      <c r="B88" t="s">
        <v>215</v>
      </c>
      <c r="C88" s="2">
        <v>190.9</v>
      </c>
      <c r="D88" t="s">
        <v>10</v>
      </c>
      <c r="E88" s="1">
        <v>23.8</v>
      </c>
      <c r="F88">
        <v>191</v>
      </c>
      <c r="G88">
        <v>5.2391699999999997</v>
      </c>
      <c r="H88">
        <v>0.65327999999999997</v>
      </c>
      <c r="I88" t="s">
        <v>216</v>
      </c>
    </row>
    <row r="89" spans="1:9" x14ac:dyDescent="0.25">
      <c r="A89" t="s">
        <v>250</v>
      </c>
      <c r="B89" t="s">
        <v>251</v>
      </c>
      <c r="C89" s="2">
        <v>8071.7479999999996</v>
      </c>
      <c r="D89" t="s">
        <v>10</v>
      </c>
      <c r="E89" s="1">
        <f>1/(H89/100)</f>
        <v>636.01093938815745</v>
      </c>
      <c r="F89">
        <v>8072</v>
      </c>
      <c r="G89">
        <v>0.12389</v>
      </c>
      <c r="H89">
        <v>0.15723000000000001</v>
      </c>
      <c r="I89" t="s">
        <v>252</v>
      </c>
    </row>
    <row r="90" spans="1:9" x14ac:dyDescent="0.25">
      <c r="A90" t="s">
        <v>253</v>
      </c>
      <c r="B90" t="s">
        <v>254</v>
      </c>
      <c r="C90" s="2">
        <v>3810.61</v>
      </c>
      <c r="D90" t="s">
        <v>10</v>
      </c>
      <c r="E90" s="1">
        <f>1/(H90/100)</f>
        <v>290.55408664322863</v>
      </c>
      <c r="F90">
        <v>3811</v>
      </c>
      <c r="G90">
        <v>0.26243</v>
      </c>
      <c r="H90">
        <v>0.34416999999999998</v>
      </c>
      <c r="I90" t="s">
        <v>255</v>
      </c>
    </row>
    <row r="91" spans="1:9" x14ac:dyDescent="0.25">
      <c r="A91" t="s">
        <v>256</v>
      </c>
      <c r="B91" t="s">
        <v>257</v>
      </c>
      <c r="C91" s="2">
        <v>970</v>
      </c>
      <c r="D91" t="s">
        <v>10</v>
      </c>
      <c r="E91" s="1">
        <v>10</v>
      </c>
      <c r="F91">
        <v>970</v>
      </c>
      <c r="G91">
        <v>1.0309299999999999</v>
      </c>
      <c r="H91">
        <v>1.0630000000000001E-2</v>
      </c>
      <c r="I91" t="s">
        <v>258</v>
      </c>
    </row>
    <row r="92" spans="1:9" x14ac:dyDescent="0.25">
      <c r="A92" t="s">
        <v>259</v>
      </c>
      <c r="B92" t="s">
        <v>261</v>
      </c>
      <c r="C92" s="2">
        <v>1627</v>
      </c>
      <c r="D92" t="s">
        <v>10</v>
      </c>
      <c r="E92" s="1">
        <v>557</v>
      </c>
      <c r="F92">
        <v>1627</v>
      </c>
      <c r="G92">
        <v>0.61463000000000001</v>
      </c>
      <c r="H92">
        <v>0.21042</v>
      </c>
      <c r="I92" t="s">
        <v>260</v>
      </c>
    </row>
    <row r="93" spans="1:9" x14ac:dyDescent="0.25">
      <c r="A93" t="s">
        <v>262</v>
      </c>
      <c r="B93" t="s">
        <v>263</v>
      </c>
      <c r="C93" s="2">
        <v>0</v>
      </c>
      <c r="D93" t="s">
        <v>10</v>
      </c>
      <c r="E93" s="1">
        <v>0</v>
      </c>
      <c r="F93" s="1">
        <v>0</v>
      </c>
      <c r="G93" s="1">
        <v>0</v>
      </c>
      <c r="H93" s="1">
        <v>0</v>
      </c>
      <c r="I93" t="s">
        <v>264</v>
      </c>
    </row>
    <row r="94" spans="1:9" x14ac:dyDescent="0.25">
      <c r="A94" t="s">
        <v>265</v>
      </c>
      <c r="B94" t="s">
        <v>266</v>
      </c>
      <c r="C94" s="2">
        <v>751.33</v>
      </c>
      <c r="D94" t="s">
        <v>10</v>
      </c>
      <c r="E94" s="1">
        <f>1/(H94/100)</f>
        <v>85.140439154385163</v>
      </c>
      <c r="F94" s="1">
        <v>751</v>
      </c>
      <c r="G94" s="1">
        <v>1.33097</v>
      </c>
      <c r="H94" s="1">
        <v>1.1745300000000001</v>
      </c>
      <c r="I94" t="s">
        <v>267</v>
      </c>
    </row>
    <row r="95" spans="1:9" x14ac:dyDescent="0.25">
      <c r="A95" t="s">
        <v>268</v>
      </c>
      <c r="B95" t="s">
        <v>177</v>
      </c>
      <c r="C95" s="2">
        <v>0</v>
      </c>
      <c r="D95" t="s">
        <v>10</v>
      </c>
      <c r="E95" s="1">
        <v>0</v>
      </c>
      <c r="F95" s="1">
        <v>0</v>
      </c>
      <c r="G95" s="1">
        <v>0</v>
      </c>
      <c r="H95" s="1">
        <v>0</v>
      </c>
      <c r="I95" t="s">
        <v>178</v>
      </c>
    </row>
    <row r="96" spans="1:9" x14ac:dyDescent="0.25">
      <c r="A96" t="s">
        <v>269</v>
      </c>
      <c r="B96" t="s">
        <v>270</v>
      </c>
      <c r="C96" s="2">
        <v>239.67</v>
      </c>
      <c r="D96" t="s">
        <v>10</v>
      </c>
      <c r="E96" s="1">
        <v>8.5299999999999994</v>
      </c>
      <c r="F96" s="1">
        <v>240</v>
      </c>
      <c r="G96" s="1">
        <v>4.1723999999999997</v>
      </c>
      <c r="H96" s="1">
        <v>0.14849999999999999</v>
      </c>
      <c r="I96" t="s">
        <v>271</v>
      </c>
    </row>
    <row r="97" spans="1:9" x14ac:dyDescent="0.25">
      <c r="A97" t="s">
        <v>272</v>
      </c>
      <c r="B97" t="s">
        <v>273</v>
      </c>
      <c r="C97" s="2">
        <v>296.58999999999997</v>
      </c>
      <c r="D97" t="s">
        <v>10</v>
      </c>
      <c r="E97" s="1">
        <f>1/(H97/100)</f>
        <v>317.43008602355332</v>
      </c>
      <c r="F97" s="1">
        <v>297</v>
      </c>
      <c r="G97" s="1">
        <v>3.3716300000000001</v>
      </c>
      <c r="H97" s="1">
        <v>0.31502999999999998</v>
      </c>
      <c r="I97" t="s">
        <v>431</v>
      </c>
    </row>
    <row r="98" spans="1:9" x14ac:dyDescent="0.25">
      <c r="A98" t="s">
        <v>274</v>
      </c>
      <c r="B98" t="s">
        <v>275</v>
      </c>
      <c r="C98" s="2">
        <v>662.84900000000005</v>
      </c>
      <c r="D98" t="s">
        <v>10</v>
      </c>
      <c r="E98" s="1">
        <f>1/(H98/100)</f>
        <v>230.61666897283334</v>
      </c>
      <c r="F98" s="1">
        <v>663</v>
      </c>
      <c r="G98" s="1">
        <v>1.50864</v>
      </c>
      <c r="H98" s="1">
        <v>0.43362000000000001</v>
      </c>
      <c r="I98" t="s">
        <v>276</v>
      </c>
    </row>
    <row r="99" spans="1:9" x14ac:dyDescent="0.25">
      <c r="A99" t="s">
        <v>277</v>
      </c>
      <c r="B99" t="s">
        <v>278</v>
      </c>
      <c r="C99" s="2">
        <v>289.83999999999997</v>
      </c>
      <c r="D99" t="s">
        <v>10</v>
      </c>
      <c r="E99" s="1">
        <f>1/(H99/100)</f>
        <v>182.952487239064</v>
      </c>
      <c r="F99" s="1">
        <v>290</v>
      </c>
      <c r="G99" s="1">
        <v>3.4501599999999999</v>
      </c>
      <c r="H99" s="1">
        <v>0.54659000000000002</v>
      </c>
      <c r="I99" t="s">
        <v>279</v>
      </c>
    </row>
    <row r="100" spans="1:9" x14ac:dyDescent="0.25">
      <c r="A100" t="s">
        <v>280</v>
      </c>
      <c r="B100" t="s">
        <v>281</v>
      </c>
      <c r="C100" s="2">
        <v>238.44900000000001</v>
      </c>
      <c r="D100" t="s">
        <v>10</v>
      </c>
      <c r="E100" s="1">
        <f>1/(H100/100)</f>
        <v>440.66452209932578</v>
      </c>
      <c r="F100" s="1">
        <v>238</v>
      </c>
      <c r="G100" s="1">
        <v>4.1937600000000002</v>
      </c>
      <c r="H100" s="1">
        <v>0.22692999999999999</v>
      </c>
      <c r="I100" t="s">
        <v>282</v>
      </c>
    </row>
    <row r="101" spans="1:9" x14ac:dyDescent="0.25">
      <c r="A101" t="s">
        <v>283</v>
      </c>
      <c r="B101" t="s">
        <v>284</v>
      </c>
      <c r="C101" s="2">
        <v>0</v>
      </c>
      <c r="D101" t="s">
        <v>10</v>
      </c>
      <c r="E101" s="1">
        <v>0</v>
      </c>
      <c r="F101" s="1">
        <v>0</v>
      </c>
      <c r="G101" s="1">
        <v>0</v>
      </c>
      <c r="H101" s="1">
        <v>0</v>
      </c>
      <c r="I101" s="1" t="s">
        <v>285</v>
      </c>
    </row>
    <row r="102" spans="1:9" x14ac:dyDescent="0.25">
      <c r="A102" t="s">
        <v>286</v>
      </c>
      <c r="B102" t="s">
        <v>287</v>
      </c>
      <c r="C102" s="2">
        <v>842.65</v>
      </c>
      <c r="D102" t="s">
        <v>10</v>
      </c>
      <c r="E102" s="1">
        <v>388</v>
      </c>
      <c r="F102" s="1">
        <v>843</v>
      </c>
      <c r="G102" s="1">
        <v>1.72048</v>
      </c>
      <c r="H102" s="1">
        <v>0.55639000000000005</v>
      </c>
      <c r="I102" t="s">
        <v>432</v>
      </c>
    </row>
    <row r="103" spans="1:9" x14ac:dyDescent="0.25">
      <c r="A103" t="s">
        <v>288</v>
      </c>
      <c r="B103" t="s">
        <v>456</v>
      </c>
      <c r="C103" s="2">
        <v>0</v>
      </c>
      <c r="D103" t="s">
        <v>10</v>
      </c>
      <c r="E103" s="1">
        <v>0</v>
      </c>
      <c r="F103" s="1">
        <v>0</v>
      </c>
      <c r="G103" s="1">
        <v>0</v>
      </c>
      <c r="H103" s="1">
        <v>0</v>
      </c>
      <c r="I103" t="s">
        <v>458</v>
      </c>
    </row>
    <row r="104" spans="1:9" x14ac:dyDescent="0.25">
      <c r="A104" t="s">
        <v>304</v>
      </c>
      <c r="B104" t="s">
        <v>459</v>
      </c>
      <c r="C104" s="2">
        <v>0</v>
      </c>
      <c r="D104" t="s">
        <v>10</v>
      </c>
      <c r="E104" s="1">
        <v>0</v>
      </c>
      <c r="F104" s="1">
        <v>0</v>
      </c>
      <c r="G104" s="1">
        <v>0</v>
      </c>
      <c r="H104" s="1">
        <v>0</v>
      </c>
      <c r="I104" t="s">
        <v>460</v>
      </c>
    </row>
    <row r="105" spans="1:9" x14ac:dyDescent="0.25">
      <c r="A105" t="s">
        <v>289</v>
      </c>
      <c r="B105" t="s">
        <v>290</v>
      </c>
      <c r="C105" s="2">
        <v>933.23699999999997</v>
      </c>
      <c r="D105" t="s">
        <v>10</v>
      </c>
      <c r="E105" s="1">
        <f>1/(H105/100)</f>
        <v>294.11764705882354</v>
      </c>
      <c r="F105" s="1">
        <v>933</v>
      </c>
      <c r="G105" s="1">
        <v>1.0715399999999999</v>
      </c>
      <c r="H105" s="1">
        <v>0.34</v>
      </c>
      <c r="I105" t="s">
        <v>433</v>
      </c>
    </row>
    <row r="106" spans="1:9" x14ac:dyDescent="0.25">
      <c r="A106" t="s">
        <v>291</v>
      </c>
      <c r="B106" t="s">
        <v>292</v>
      </c>
      <c r="C106" s="2">
        <v>2992.46</v>
      </c>
      <c r="D106" t="s">
        <v>10</v>
      </c>
      <c r="E106" s="1">
        <f>1/(H106/100)</f>
        <v>316.55587211142762</v>
      </c>
      <c r="F106" s="1">
        <v>2992</v>
      </c>
      <c r="G106" s="1">
        <v>0.33417000000000002</v>
      </c>
      <c r="H106" s="1">
        <v>0.31590000000000001</v>
      </c>
      <c r="I106" t="s">
        <v>434</v>
      </c>
    </row>
    <row r="107" spans="1:9" x14ac:dyDescent="0.25">
      <c r="A107" t="s">
        <v>293</v>
      </c>
      <c r="B107" t="s">
        <v>294</v>
      </c>
      <c r="C107" s="2">
        <v>295.37</v>
      </c>
      <c r="D107" t="s">
        <v>10</v>
      </c>
      <c r="E107" s="1">
        <v>7.8</v>
      </c>
      <c r="F107" s="1">
        <v>295</v>
      </c>
      <c r="G107" s="1">
        <v>3.38558</v>
      </c>
      <c r="H107" s="1">
        <v>8.9410000000000003E-2</v>
      </c>
      <c r="I107" t="s">
        <v>295</v>
      </c>
    </row>
    <row r="108" spans="1:9" x14ac:dyDescent="0.25">
      <c r="A108" t="s">
        <v>296</v>
      </c>
      <c r="B108" t="s">
        <v>297</v>
      </c>
      <c r="C108" s="2">
        <v>642.05999999999995</v>
      </c>
      <c r="D108" t="s">
        <v>10</v>
      </c>
      <c r="E108" s="1">
        <f>1/(H108/100)</f>
        <v>75.678457370324963</v>
      </c>
      <c r="F108" s="1">
        <v>642</v>
      </c>
      <c r="G108" s="1">
        <v>1.55749</v>
      </c>
      <c r="H108" s="1">
        <v>1.32138</v>
      </c>
      <c r="I108" t="s">
        <v>298</v>
      </c>
    </row>
    <row r="109" spans="1:9" x14ac:dyDescent="0.25">
      <c r="A109" t="s">
        <v>299</v>
      </c>
      <c r="B109" t="s">
        <v>300</v>
      </c>
      <c r="C109" s="2">
        <v>169.33</v>
      </c>
      <c r="D109" t="s">
        <v>10</v>
      </c>
      <c r="E109" s="1">
        <v>0</v>
      </c>
      <c r="F109" s="1">
        <v>169</v>
      </c>
      <c r="G109" s="1">
        <v>5.9055600000000004</v>
      </c>
      <c r="H109" s="1">
        <v>0</v>
      </c>
      <c r="I109" t="s">
        <v>301</v>
      </c>
    </row>
    <row r="110" spans="1:9" x14ac:dyDescent="0.25">
      <c r="A110" t="s">
        <v>303</v>
      </c>
      <c r="B110" t="s">
        <v>461</v>
      </c>
      <c r="C110" s="2">
        <v>0</v>
      </c>
      <c r="D110" t="s">
        <v>10</v>
      </c>
      <c r="E110" s="1">
        <v>0</v>
      </c>
      <c r="F110" s="1">
        <v>0</v>
      </c>
      <c r="G110" s="1">
        <v>0</v>
      </c>
      <c r="H110" s="1">
        <v>0</v>
      </c>
      <c r="I110" t="s">
        <v>462</v>
      </c>
    </row>
    <row r="111" spans="1:9" s="4" customFormat="1" x14ac:dyDescent="0.25">
      <c r="A111" s="4" t="s">
        <v>302</v>
      </c>
      <c r="B111" s="4" t="s">
        <v>467</v>
      </c>
      <c r="C111" s="5">
        <v>269.47000000000003</v>
      </c>
      <c r="D111" s="4" t="s">
        <v>10</v>
      </c>
      <c r="E111" s="6">
        <v>149</v>
      </c>
      <c r="F111" s="6">
        <v>269</v>
      </c>
      <c r="G111" s="6">
        <v>4.8764799999999999</v>
      </c>
      <c r="H111" s="6">
        <v>1.0761099999999999</v>
      </c>
      <c r="I111" s="4" t="s">
        <v>483</v>
      </c>
    </row>
    <row r="112" spans="1:9" x14ac:dyDescent="0.25">
      <c r="A112" t="s">
        <v>305</v>
      </c>
      <c r="B112" t="s">
        <v>468</v>
      </c>
      <c r="C112" s="2">
        <v>437.95400000000001</v>
      </c>
      <c r="D112" t="s">
        <v>10</v>
      </c>
      <c r="E112" s="1">
        <f>1/(H112/100)</f>
        <v>69.857769581132814</v>
      </c>
      <c r="F112" s="1">
        <v>438</v>
      </c>
      <c r="G112" s="1">
        <v>2.2833399999999999</v>
      </c>
      <c r="H112" s="1">
        <v>1.4314800000000001</v>
      </c>
      <c r="I112" t="s">
        <v>473</v>
      </c>
    </row>
    <row r="113" spans="1:9" x14ac:dyDescent="0.25">
      <c r="A113" t="s">
        <v>306</v>
      </c>
      <c r="B113" t="s">
        <v>469</v>
      </c>
      <c r="C113" s="2">
        <v>583.79</v>
      </c>
      <c r="D113" t="s">
        <v>10</v>
      </c>
      <c r="E113" s="1">
        <f>1/(H113/100)</f>
        <v>92.349746961693327</v>
      </c>
      <c r="F113" s="1">
        <v>584</v>
      </c>
      <c r="G113" s="1">
        <v>1.17293</v>
      </c>
      <c r="H113" s="1">
        <v>1.08284</v>
      </c>
      <c r="I113" t="s">
        <v>474</v>
      </c>
    </row>
    <row r="114" spans="1:9" x14ac:dyDescent="0.25">
      <c r="A114" t="s">
        <v>307</v>
      </c>
      <c r="B114" t="s">
        <v>308</v>
      </c>
      <c r="C114" s="2">
        <v>1142</v>
      </c>
      <c r="D114" t="s">
        <v>10</v>
      </c>
      <c r="E114" s="1">
        <v>78</v>
      </c>
      <c r="F114" s="1">
        <v>1142</v>
      </c>
      <c r="G114" s="1">
        <v>0.87565999999999999</v>
      </c>
      <c r="H114" s="1">
        <v>5.9810000000000002E-2</v>
      </c>
      <c r="I114" t="s">
        <v>309</v>
      </c>
    </row>
    <row r="115" spans="1:9" x14ac:dyDescent="0.25">
      <c r="A115" t="s">
        <v>310</v>
      </c>
      <c r="B115" t="s">
        <v>454</v>
      </c>
      <c r="C115" s="2">
        <v>1090</v>
      </c>
      <c r="D115" t="s">
        <v>10</v>
      </c>
      <c r="E115" s="1">
        <v>260</v>
      </c>
      <c r="F115" s="1">
        <v>1090</v>
      </c>
      <c r="G115" s="1">
        <v>0.91742999999999997</v>
      </c>
      <c r="H115" s="1">
        <v>0.21884000000000001</v>
      </c>
      <c r="I115" t="s">
        <v>121</v>
      </c>
    </row>
    <row r="116" spans="1:9" x14ac:dyDescent="0.25">
      <c r="A116" t="s">
        <v>311</v>
      </c>
      <c r="B116" t="s">
        <v>312</v>
      </c>
      <c r="C116" s="2">
        <v>176.7</v>
      </c>
      <c r="D116" t="s">
        <v>10</v>
      </c>
      <c r="E116" s="1">
        <f>1/(H116/100)</f>
        <v>188.06537152314144</v>
      </c>
      <c r="F116" s="1">
        <v>177</v>
      </c>
      <c r="G116" s="1">
        <v>5.6591800000000001</v>
      </c>
      <c r="H116" s="1">
        <v>0.53173000000000004</v>
      </c>
      <c r="I116" t="s">
        <v>313</v>
      </c>
    </row>
    <row r="117" spans="1:9" x14ac:dyDescent="0.25">
      <c r="A117" t="s">
        <v>314</v>
      </c>
      <c r="B117" t="s">
        <v>315</v>
      </c>
      <c r="C117" s="2">
        <v>549.51900000000001</v>
      </c>
      <c r="D117" t="s">
        <v>10</v>
      </c>
      <c r="E117" s="1">
        <f>1/(H117/100)</f>
        <v>134.36345314074572</v>
      </c>
      <c r="F117" s="1">
        <v>550</v>
      </c>
      <c r="G117" s="1">
        <v>1.8197700000000001</v>
      </c>
      <c r="H117" s="1">
        <v>0.74424999999999997</v>
      </c>
      <c r="I117" t="s">
        <v>316</v>
      </c>
    </row>
    <row r="118" spans="1:9" x14ac:dyDescent="0.25">
      <c r="A118" t="s">
        <v>317</v>
      </c>
      <c r="B118" t="s">
        <v>318</v>
      </c>
      <c r="C118" s="2">
        <v>495.81</v>
      </c>
      <c r="D118" t="s">
        <v>10</v>
      </c>
      <c r="E118" s="1">
        <f>1/(H118/100)</f>
        <v>218.35968206830293</v>
      </c>
      <c r="F118" s="1">
        <v>496</v>
      </c>
      <c r="G118" s="1">
        <v>2.0169000000000001</v>
      </c>
      <c r="H118" s="1">
        <v>0.45795999999999998</v>
      </c>
      <c r="I118" t="s">
        <v>435</v>
      </c>
    </row>
    <row r="119" spans="1:9" x14ac:dyDescent="0.25">
      <c r="A119" t="s">
        <v>319</v>
      </c>
      <c r="B119" t="s">
        <v>466</v>
      </c>
      <c r="C119" s="2">
        <v>0</v>
      </c>
      <c r="D119" t="s">
        <v>10</v>
      </c>
      <c r="E119" s="1">
        <v>0</v>
      </c>
      <c r="F119" s="1">
        <v>0</v>
      </c>
      <c r="G119" s="1">
        <v>0</v>
      </c>
      <c r="H119" s="1">
        <v>0</v>
      </c>
      <c r="I119" t="s">
        <v>475</v>
      </c>
    </row>
    <row r="120" spans="1:9" x14ac:dyDescent="0.25">
      <c r="A120" t="s">
        <v>320</v>
      </c>
      <c r="B120" t="s">
        <v>470</v>
      </c>
      <c r="C120" s="2">
        <v>488.16800000000001</v>
      </c>
      <c r="D120" t="s">
        <v>10</v>
      </c>
      <c r="E120" s="1">
        <f>1/(H120/100)</f>
        <v>411.45490454246215</v>
      </c>
      <c r="F120" s="1">
        <v>488</v>
      </c>
      <c r="G120" s="1">
        <v>2.04847</v>
      </c>
      <c r="H120" s="1">
        <v>0.24304000000000001</v>
      </c>
      <c r="I120" t="s">
        <v>476</v>
      </c>
    </row>
    <row r="121" spans="1:9" x14ac:dyDescent="0.25">
      <c r="A121" t="s">
        <v>321</v>
      </c>
      <c r="B121" t="s">
        <v>464</v>
      </c>
      <c r="C121" s="2">
        <v>196.24199999999999</v>
      </c>
      <c r="D121" t="s">
        <v>10</v>
      </c>
      <c r="E121" s="1">
        <f>1/(H121/100)</f>
        <v>120.14754118056975</v>
      </c>
      <c r="F121" s="1">
        <v>196</v>
      </c>
      <c r="G121" s="1">
        <v>5.0957499999999998</v>
      </c>
      <c r="H121" s="1">
        <v>0.83230999999999999</v>
      </c>
      <c r="I121" t="s">
        <v>477</v>
      </c>
    </row>
    <row r="122" spans="1:9" x14ac:dyDescent="0.25">
      <c r="A122" t="s">
        <v>322</v>
      </c>
      <c r="B122" t="s">
        <v>472</v>
      </c>
      <c r="C122" s="2">
        <v>604.29399999999998</v>
      </c>
      <c r="D122" t="s">
        <v>10</v>
      </c>
      <c r="E122" s="1">
        <f>1/(H122/100)</f>
        <v>411.86161449752882</v>
      </c>
      <c r="F122" s="1">
        <v>604</v>
      </c>
      <c r="G122" s="1">
        <v>1.65482</v>
      </c>
      <c r="H122" s="1">
        <v>0.24279999999999999</v>
      </c>
      <c r="I122" t="s">
        <v>478</v>
      </c>
    </row>
    <row r="123" spans="1:9" x14ac:dyDescent="0.25">
      <c r="A123" t="s">
        <v>323</v>
      </c>
      <c r="B123" t="s">
        <v>452</v>
      </c>
      <c r="C123" s="2">
        <v>0</v>
      </c>
      <c r="D123" t="s">
        <v>10</v>
      </c>
      <c r="E123" s="1">
        <v>0</v>
      </c>
      <c r="F123" s="1">
        <v>0</v>
      </c>
      <c r="G123" s="1">
        <v>0</v>
      </c>
      <c r="H123" s="1">
        <v>0</v>
      </c>
      <c r="I123" t="s">
        <v>453</v>
      </c>
    </row>
    <row r="124" spans="1:9" x14ac:dyDescent="0.25">
      <c r="A124" t="s">
        <v>324</v>
      </c>
      <c r="B124" t="s">
        <v>455</v>
      </c>
      <c r="C124" s="2">
        <v>409.47699999999998</v>
      </c>
      <c r="D124" t="s">
        <v>10</v>
      </c>
      <c r="E124" s="1">
        <f>1/(H124/100)</f>
        <v>203.98588417681495</v>
      </c>
      <c r="F124" s="1">
        <v>409</v>
      </c>
      <c r="G124" s="1">
        <v>2.4421300000000001</v>
      </c>
      <c r="H124" s="1">
        <v>0.49023</v>
      </c>
      <c r="I124" t="s">
        <v>457</v>
      </c>
    </row>
    <row r="125" spans="1:9" x14ac:dyDescent="0.25">
      <c r="A125" t="s">
        <v>325</v>
      </c>
      <c r="B125" t="s">
        <v>326</v>
      </c>
      <c r="C125" s="2">
        <v>8290.1550000000007</v>
      </c>
      <c r="D125" t="s">
        <v>10</v>
      </c>
      <c r="E125" s="1">
        <f>1/(H125)</f>
        <v>362.31884057971018</v>
      </c>
      <c r="F125" s="1">
        <v>8290</v>
      </c>
      <c r="G125" s="1">
        <v>0.12063</v>
      </c>
      <c r="H125" s="1">
        <v>2.7599999999999999E-3</v>
      </c>
      <c r="I125" t="s">
        <v>327</v>
      </c>
    </row>
    <row r="126" spans="1:9" x14ac:dyDescent="0.25">
      <c r="A126" t="s">
        <v>328</v>
      </c>
      <c r="B126" t="s">
        <v>329</v>
      </c>
      <c r="C126" s="2">
        <v>487.25</v>
      </c>
      <c r="D126" t="s">
        <v>10</v>
      </c>
      <c r="E126" s="1">
        <f>1/(H126/100)</f>
        <v>178.33895101029017</v>
      </c>
      <c r="F126" s="1">
        <v>487</v>
      </c>
      <c r="G126" s="1">
        <v>2.0523199999999999</v>
      </c>
      <c r="H126" s="1">
        <v>0.56072999999999995</v>
      </c>
      <c r="I126" t="s">
        <v>330</v>
      </c>
    </row>
    <row r="127" spans="1:9" x14ac:dyDescent="0.25">
      <c r="A127" t="s">
        <v>331</v>
      </c>
      <c r="B127" t="s">
        <v>332</v>
      </c>
      <c r="C127" s="2">
        <v>4604.79</v>
      </c>
      <c r="D127" t="s">
        <v>10</v>
      </c>
      <c r="E127" s="1">
        <f>1/(H127/100)</f>
        <v>2905.2876234747237</v>
      </c>
      <c r="F127" s="1">
        <v>4605</v>
      </c>
      <c r="G127" s="1">
        <v>0.21717</v>
      </c>
      <c r="H127" s="1">
        <v>3.4419999999999999E-2</v>
      </c>
      <c r="I127" t="s">
        <v>333</v>
      </c>
    </row>
    <row r="128" spans="1:9" x14ac:dyDescent="0.25">
      <c r="A128" t="s">
        <v>334</v>
      </c>
      <c r="B128" t="s">
        <v>335</v>
      </c>
      <c r="C128" s="2">
        <v>10386.637000000001</v>
      </c>
      <c r="D128" t="s">
        <v>10</v>
      </c>
      <c r="E128" s="1">
        <f>1/(H128/10)</f>
        <v>1658.3747927031509</v>
      </c>
      <c r="F128" s="1">
        <v>10387</v>
      </c>
      <c r="G128" s="1">
        <v>9.6280000000000004E-2</v>
      </c>
      <c r="H128" s="1">
        <v>6.0299999999999998E-3</v>
      </c>
      <c r="I128" t="s">
        <v>479</v>
      </c>
    </row>
    <row r="129" spans="1:9" x14ac:dyDescent="0.25">
      <c r="A129" t="s">
        <v>463</v>
      </c>
      <c r="B129" t="s">
        <v>465</v>
      </c>
      <c r="C129" s="2">
        <v>0</v>
      </c>
      <c r="D129" t="s">
        <v>10</v>
      </c>
      <c r="E129" s="1">
        <v>0</v>
      </c>
      <c r="F129" s="1">
        <v>0</v>
      </c>
      <c r="G129" s="1">
        <v>0</v>
      </c>
      <c r="H129" s="1">
        <v>0</v>
      </c>
      <c r="I129" t="s">
        <v>480</v>
      </c>
    </row>
    <row r="130" spans="1:9" s="4" customFormat="1" x14ac:dyDescent="0.25">
      <c r="A130" s="4" t="s">
        <v>336</v>
      </c>
      <c r="B130" s="4" t="s">
        <v>471</v>
      </c>
      <c r="C130" s="5">
        <v>2699.6559999999999</v>
      </c>
      <c r="D130" s="4" t="s">
        <v>10</v>
      </c>
      <c r="E130" s="6">
        <f>1/(H130/100)</f>
        <v>786.22533218020283</v>
      </c>
      <c r="F130" s="6">
        <v>2700</v>
      </c>
      <c r="G130" s="6">
        <v>0.37042000000000003</v>
      </c>
      <c r="H130" s="6">
        <v>0.12719</v>
      </c>
      <c r="I130" s="4" t="s">
        <v>482</v>
      </c>
    </row>
    <row r="131" spans="1:9" x14ac:dyDescent="0.25">
      <c r="A131" t="s">
        <v>337</v>
      </c>
      <c r="B131" t="s">
        <v>338</v>
      </c>
      <c r="C131" s="2">
        <v>3302.6226000000001</v>
      </c>
      <c r="D131" t="s">
        <v>10</v>
      </c>
      <c r="E131" s="1">
        <f>1/(H131/10)</f>
        <v>260.14568158168572</v>
      </c>
      <c r="F131" s="1">
        <v>3303</v>
      </c>
      <c r="G131" s="1">
        <v>0.30279</v>
      </c>
      <c r="H131" s="1">
        <v>3.8440000000000002E-2</v>
      </c>
      <c r="I131" t="s">
        <v>339</v>
      </c>
    </row>
    <row r="132" spans="1:9" x14ac:dyDescent="0.25">
      <c r="A132" t="s">
        <v>340</v>
      </c>
      <c r="B132" t="s">
        <v>246</v>
      </c>
      <c r="C132" s="2">
        <v>6107.23</v>
      </c>
      <c r="D132" t="s">
        <v>10</v>
      </c>
      <c r="E132" s="1">
        <f>1/(H132/10)</f>
        <v>300.57108506161705</v>
      </c>
      <c r="F132" s="1">
        <v>6107</v>
      </c>
      <c r="G132" s="1">
        <v>0.16374</v>
      </c>
      <c r="H132" s="1">
        <v>3.3270000000000001E-2</v>
      </c>
      <c r="I132" t="s">
        <v>247</v>
      </c>
    </row>
    <row r="133" spans="1:9" x14ac:dyDescent="0.25">
      <c r="A133" t="s">
        <v>341</v>
      </c>
      <c r="B133" t="s">
        <v>348</v>
      </c>
      <c r="C133" s="2">
        <v>2756.8560000000002</v>
      </c>
      <c r="D133" t="s">
        <v>10</v>
      </c>
      <c r="E133" s="1">
        <f>1/(H133/100)</f>
        <v>270.68727499120268</v>
      </c>
      <c r="F133" s="1">
        <v>2757</v>
      </c>
      <c r="G133" s="1">
        <v>0.36273</v>
      </c>
      <c r="H133" s="1">
        <v>0.36942999999999998</v>
      </c>
      <c r="I133" t="s">
        <v>349</v>
      </c>
    </row>
    <row r="134" spans="1:9" x14ac:dyDescent="0.25">
      <c r="A134" t="s">
        <v>342</v>
      </c>
      <c r="B134" t="s">
        <v>350</v>
      </c>
      <c r="C134" s="2">
        <v>1351.5654999999999</v>
      </c>
      <c r="D134" t="s">
        <v>10</v>
      </c>
      <c r="E134" s="1">
        <f>1/(H134/100)</f>
        <v>153.97170000153972</v>
      </c>
      <c r="F134" s="1">
        <v>1352</v>
      </c>
      <c r="G134" s="1">
        <v>0.73987999999999998</v>
      </c>
      <c r="H134" s="1">
        <v>0.64946999999999999</v>
      </c>
      <c r="I134" t="s">
        <v>351</v>
      </c>
    </row>
    <row r="135" spans="1:9" x14ac:dyDescent="0.25">
      <c r="A135" t="s">
        <v>343</v>
      </c>
      <c r="B135" t="s">
        <v>352</v>
      </c>
      <c r="C135" s="2">
        <v>13968.571</v>
      </c>
      <c r="D135" t="s">
        <v>10</v>
      </c>
      <c r="E135" s="1">
        <f>1/(H135/10)</f>
        <v>1264.2225031605562</v>
      </c>
      <c r="F135" s="1">
        <v>13969</v>
      </c>
      <c r="G135" s="1">
        <v>7.1590000000000001E-2</v>
      </c>
      <c r="H135" s="1">
        <v>7.9100000000000004E-3</v>
      </c>
      <c r="I135" t="s">
        <v>353</v>
      </c>
    </row>
    <row r="136" spans="1:9" x14ac:dyDescent="0.25">
      <c r="A136" t="s">
        <v>344</v>
      </c>
      <c r="B136" t="s">
        <v>354</v>
      </c>
      <c r="C136" s="2">
        <v>875</v>
      </c>
      <c r="D136" t="s">
        <v>10</v>
      </c>
      <c r="E136" s="1">
        <v>209</v>
      </c>
      <c r="F136" s="1">
        <v>875</v>
      </c>
      <c r="G136" s="1">
        <v>1.14286</v>
      </c>
      <c r="H136" s="1">
        <v>0.27298</v>
      </c>
      <c r="I136" t="s">
        <v>355</v>
      </c>
    </row>
    <row r="137" spans="1:9" x14ac:dyDescent="0.25">
      <c r="A137" t="s">
        <v>345</v>
      </c>
      <c r="B137" t="s">
        <v>442</v>
      </c>
      <c r="C137" s="2">
        <v>13265.067999999999</v>
      </c>
      <c r="D137" t="s">
        <v>10</v>
      </c>
      <c r="E137" s="1">
        <f>1/(H137/100)</f>
        <v>2547.1217524197655</v>
      </c>
      <c r="F137" s="1">
        <v>13265</v>
      </c>
      <c r="G137" s="1">
        <v>7.5389999999999999E-2</v>
      </c>
      <c r="H137" s="1">
        <v>3.9260000000000003E-2</v>
      </c>
      <c r="I137" t="s">
        <v>443</v>
      </c>
    </row>
    <row r="138" spans="1:9" x14ac:dyDescent="0.25">
      <c r="A138" t="s">
        <v>346</v>
      </c>
      <c r="B138" t="s">
        <v>440</v>
      </c>
      <c r="C138" s="2">
        <v>4475.1899999999996</v>
      </c>
      <c r="D138" t="s">
        <v>10</v>
      </c>
      <c r="E138" s="1">
        <f>1/(H138/10)</f>
        <v>273.67268746579089</v>
      </c>
      <c r="F138" s="1">
        <v>4475</v>
      </c>
      <c r="G138" s="1">
        <v>0.22345000000000001</v>
      </c>
      <c r="H138" s="1">
        <v>3.6540000000000003E-2</v>
      </c>
      <c r="I138" t="s">
        <v>441</v>
      </c>
    </row>
    <row r="139" spans="1:9" x14ac:dyDescent="0.25">
      <c r="A139" t="s">
        <v>347</v>
      </c>
      <c r="B139" t="s">
        <v>356</v>
      </c>
      <c r="C139" s="2">
        <v>0</v>
      </c>
      <c r="D139" t="s">
        <v>10</v>
      </c>
      <c r="E139" s="1">
        <v>0</v>
      </c>
      <c r="F139" s="1">
        <v>0</v>
      </c>
      <c r="G139" s="1">
        <v>0</v>
      </c>
      <c r="H139" s="1">
        <v>0</v>
      </c>
      <c r="I139" t="s">
        <v>357</v>
      </c>
    </row>
    <row r="140" spans="1:9" x14ac:dyDescent="0.25">
      <c r="A140" t="s">
        <v>359</v>
      </c>
      <c r="B140" t="s">
        <v>360</v>
      </c>
      <c r="C140" s="2">
        <v>0</v>
      </c>
      <c r="D140" t="s">
        <v>10</v>
      </c>
      <c r="E140" s="1">
        <v>0</v>
      </c>
      <c r="F140" s="1">
        <v>0</v>
      </c>
      <c r="G140" s="1">
        <v>0</v>
      </c>
      <c r="H140" s="1">
        <v>0</v>
      </c>
      <c r="I140" t="s">
        <v>361</v>
      </c>
    </row>
    <row r="141" spans="1:9" x14ac:dyDescent="0.25">
      <c r="A141" t="s">
        <v>358</v>
      </c>
      <c r="B141" t="s">
        <v>447</v>
      </c>
      <c r="C141" s="2">
        <v>0</v>
      </c>
      <c r="D141" t="s">
        <v>10</v>
      </c>
      <c r="E141" s="1">
        <v>0</v>
      </c>
      <c r="F141" s="1">
        <v>0</v>
      </c>
      <c r="G141" s="1">
        <v>0</v>
      </c>
      <c r="H141" s="1">
        <v>0</v>
      </c>
      <c r="I141" t="s">
        <v>444</v>
      </c>
    </row>
    <row r="142" spans="1:9" x14ac:dyDescent="0.25">
      <c r="A142" t="s">
        <v>362</v>
      </c>
      <c r="B142" t="s">
        <v>445</v>
      </c>
      <c r="C142" s="2">
        <v>818</v>
      </c>
      <c r="D142" t="s">
        <v>10</v>
      </c>
      <c r="E142" s="1">
        <v>86</v>
      </c>
      <c r="F142" s="1">
        <v>818</v>
      </c>
      <c r="G142" s="1">
        <v>1.2224900000000001</v>
      </c>
      <c r="H142" s="1">
        <v>0.12853000000000001</v>
      </c>
      <c r="I142" t="s">
        <v>446</v>
      </c>
    </row>
    <row r="143" spans="1:9" x14ac:dyDescent="0.25">
      <c r="A143" t="s">
        <v>363</v>
      </c>
      <c r="B143" t="s">
        <v>364</v>
      </c>
      <c r="C143" s="2">
        <v>1381.7</v>
      </c>
      <c r="D143" t="s">
        <v>10</v>
      </c>
      <c r="E143" s="1">
        <f>1/(H143/100)</f>
        <v>348.29856152694094</v>
      </c>
      <c r="F143" s="1">
        <v>1382</v>
      </c>
      <c r="G143" s="1">
        <v>0.72374000000000005</v>
      </c>
      <c r="H143" s="1">
        <v>0.28710999999999998</v>
      </c>
      <c r="I143" t="s">
        <v>365</v>
      </c>
    </row>
    <row r="144" spans="1:9" x14ac:dyDescent="0.25">
      <c r="A144" t="s">
        <v>366</v>
      </c>
      <c r="B144" t="s">
        <v>367</v>
      </c>
      <c r="C144" s="2">
        <v>0</v>
      </c>
      <c r="D144" t="s">
        <v>10</v>
      </c>
      <c r="E144" s="1">
        <v>0</v>
      </c>
      <c r="F144" s="1">
        <v>0</v>
      </c>
      <c r="G144" s="1">
        <v>0</v>
      </c>
      <c r="H144" s="1">
        <v>0</v>
      </c>
      <c r="I144" t="s">
        <v>368</v>
      </c>
    </row>
    <row r="145" spans="1:9" x14ac:dyDescent="0.25">
      <c r="A145" t="s">
        <v>369</v>
      </c>
      <c r="B145" t="s">
        <v>370</v>
      </c>
      <c r="C145" s="2">
        <v>208.90899999999999</v>
      </c>
      <c r="D145" t="s">
        <v>10</v>
      </c>
      <c r="E145" s="1">
        <f>1/(H145/10)</f>
        <v>24.715768660405338</v>
      </c>
      <c r="F145" s="1">
        <v>209</v>
      </c>
      <c r="G145" s="1">
        <v>4.7867600000000001</v>
      </c>
      <c r="H145" s="1">
        <v>0.40460000000000002</v>
      </c>
      <c r="I145" t="s">
        <v>371</v>
      </c>
    </row>
    <row r="146" spans="1:9" x14ac:dyDescent="0.25">
      <c r="A146" t="s">
        <v>372</v>
      </c>
      <c r="B146" t="s">
        <v>312</v>
      </c>
      <c r="C146" s="2">
        <v>603</v>
      </c>
      <c r="D146" t="s">
        <v>10</v>
      </c>
      <c r="E146" s="1">
        <v>174</v>
      </c>
      <c r="F146" s="1">
        <v>603</v>
      </c>
      <c r="G146" s="1">
        <v>1.6583699999999999</v>
      </c>
      <c r="H146" s="1">
        <v>0.47854000000000002</v>
      </c>
      <c r="I146" t="s">
        <v>313</v>
      </c>
    </row>
    <row r="147" spans="1:9" x14ac:dyDescent="0.25">
      <c r="A147" t="s">
        <v>373</v>
      </c>
      <c r="B147" t="s">
        <v>437</v>
      </c>
      <c r="C147" s="2">
        <v>649.00800000000004</v>
      </c>
      <c r="D147" t="s">
        <v>10</v>
      </c>
      <c r="E147" s="1">
        <f>1/(H147/100)</f>
        <v>84.175792725527984</v>
      </c>
      <c r="F147" s="1">
        <v>649</v>
      </c>
      <c r="G147" s="1">
        <v>1.54081</v>
      </c>
      <c r="H147" s="1">
        <v>1.1879900000000001</v>
      </c>
      <c r="I147" t="s">
        <v>436</v>
      </c>
    </row>
    <row r="148" spans="1:9" x14ac:dyDescent="0.25">
      <c r="A148" t="s">
        <v>374</v>
      </c>
      <c r="B148" s="3" t="s">
        <v>438</v>
      </c>
      <c r="C148" s="2">
        <v>2411.9650000000001</v>
      </c>
      <c r="D148" t="s">
        <v>10</v>
      </c>
      <c r="E148" s="1">
        <f>1/(H148/100)</f>
        <v>262.41209194919702</v>
      </c>
      <c r="F148" s="1">
        <v>2412</v>
      </c>
      <c r="G148" s="1">
        <v>0.41460000000000002</v>
      </c>
      <c r="H148" s="1">
        <v>0.38107999999999997</v>
      </c>
      <c r="I148" t="s">
        <v>439</v>
      </c>
    </row>
    <row r="149" spans="1:9" x14ac:dyDescent="0.25">
      <c r="A149" t="s">
        <v>375</v>
      </c>
      <c r="B149" t="s">
        <v>377</v>
      </c>
      <c r="C149" s="2">
        <v>521.97799999999995</v>
      </c>
      <c r="D149" t="s">
        <v>10</v>
      </c>
      <c r="E149" s="1">
        <f>1/(H149/100)</f>
        <v>208.96458050360465</v>
      </c>
      <c r="F149" s="1">
        <v>522</v>
      </c>
      <c r="G149" s="1">
        <v>1.9157900000000001</v>
      </c>
      <c r="H149" s="1">
        <v>0.47854999999999998</v>
      </c>
      <c r="I149" t="s">
        <v>382</v>
      </c>
    </row>
    <row r="150" spans="1:9" x14ac:dyDescent="0.25">
      <c r="A150" t="s">
        <v>376</v>
      </c>
      <c r="B150" t="s">
        <v>378</v>
      </c>
      <c r="C150" s="2">
        <v>2541.0349999999999</v>
      </c>
      <c r="D150" t="s">
        <v>10</v>
      </c>
      <c r="E150" s="1">
        <f>1/(H150/100)</f>
        <v>248.28065645405565</v>
      </c>
      <c r="F150" s="1">
        <v>2541</v>
      </c>
      <c r="G150" s="1">
        <v>0.39354</v>
      </c>
      <c r="H150" s="1">
        <v>0.40277000000000002</v>
      </c>
      <c r="I150" t="s">
        <v>383</v>
      </c>
    </row>
    <row r="151" spans="1:9" x14ac:dyDescent="0.25">
      <c r="A151" t="s">
        <v>379</v>
      </c>
      <c r="B151" t="s">
        <v>380</v>
      </c>
      <c r="C151" s="2">
        <v>151</v>
      </c>
      <c r="D151" t="s">
        <v>10</v>
      </c>
      <c r="E151" s="1">
        <v>10</v>
      </c>
      <c r="F151" s="1">
        <v>151</v>
      </c>
      <c r="G151" s="1">
        <v>6.6225199999999997</v>
      </c>
      <c r="H151" s="1">
        <v>0.43858000000000003</v>
      </c>
      <c r="I151" t="s">
        <v>384</v>
      </c>
    </row>
    <row r="152" spans="1:9" x14ac:dyDescent="0.25">
      <c r="A152" t="s">
        <v>381</v>
      </c>
      <c r="B152" t="s">
        <v>385</v>
      </c>
      <c r="C152" s="2">
        <v>345</v>
      </c>
      <c r="D152" t="s">
        <v>10</v>
      </c>
      <c r="E152" s="1">
        <v>48</v>
      </c>
      <c r="F152" s="1">
        <v>345</v>
      </c>
      <c r="G152">
        <f>1/(345)*(1000)</f>
        <v>2.8985507246376812</v>
      </c>
      <c r="H152">
        <f>1/48*100</f>
        <v>2.083333333333333</v>
      </c>
      <c r="I152" t="s">
        <v>116</v>
      </c>
    </row>
    <row r="153" spans="1:9" x14ac:dyDescent="0.25">
      <c r="A153" t="s">
        <v>386</v>
      </c>
      <c r="B153" t="s">
        <v>387</v>
      </c>
      <c r="C153" s="2">
        <v>1030</v>
      </c>
      <c r="D153" t="s">
        <v>10</v>
      </c>
      <c r="E153" s="1">
        <v>299</v>
      </c>
      <c r="F153" s="1">
        <v>1030</v>
      </c>
      <c r="G153">
        <f>1/1030*1000</f>
        <v>0.970873786407767</v>
      </c>
      <c r="H153">
        <f>1/299*100</f>
        <v>0.33444816053511706</v>
      </c>
      <c r="I153" t="s">
        <v>388</v>
      </c>
    </row>
    <row r="154" spans="1:9" x14ac:dyDescent="0.25">
      <c r="A154" t="s">
        <v>389</v>
      </c>
      <c r="B154" t="s">
        <v>315</v>
      </c>
      <c r="C154" s="2">
        <v>865.8</v>
      </c>
      <c r="D154" t="s">
        <v>10</v>
      </c>
      <c r="E154" s="1">
        <v>213</v>
      </c>
      <c r="F154" s="1">
        <v>866</v>
      </c>
      <c r="G154">
        <f>1/865.8*1000</f>
        <v>1.155001155001155</v>
      </c>
      <c r="H154">
        <f>1/213*100</f>
        <v>0.46948356807511737</v>
      </c>
      <c r="I154" t="s">
        <v>316</v>
      </c>
    </row>
    <row r="155" spans="1:9" x14ac:dyDescent="0.25">
      <c r="A155" t="s">
        <v>390</v>
      </c>
      <c r="B155" t="s">
        <v>391</v>
      </c>
      <c r="C155" s="2">
        <v>1148.5999999999999</v>
      </c>
      <c r="D155" t="s">
        <v>10</v>
      </c>
      <c r="E155" s="1">
        <v>154</v>
      </c>
      <c r="F155" s="1">
        <v>1149</v>
      </c>
      <c r="G155">
        <f>1/1148.6*1000</f>
        <v>0.87062510882813859</v>
      </c>
      <c r="H155">
        <f>1/154*100</f>
        <v>0.64935064935064934</v>
      </c>
      <c r="I155" t="s">
        <v>396</v>
      </c>
    </row>
    <row r="156" spans="1:9" x14ac:dyDescent="0.25">
      <c r="A156" t="s">
        <v>392</v>
      </c>
      <c r="B156" t="s">
        <v>391</v>
      </c>
      <c r="C156" s="2">
        <v>720.6</v>
      </c>
      <c r="D156" t="s">
        <v>10</v>
      </c>
      <c r="E156" s="1">
        <v>153</v>
      </c>
      <c r="F156" s="1">
        <v>721</v>
      </c>
      <c r="G156">
        <f>1/720.6*1000</f>
        <v>1.3877324451845683</v>
      </c>
      <c r="H156">
        <f>1/153*100</f>
        <v>0.65359477124183007</v>
      </c>
      <c r="I156" t="s">
        <v>388</v>
      </c>
    </row>
    <row r="157" spans="1:9" x14ac:dyDescent="0.25">
      <c r="A157" t="s">
        <v>393</v>
      </c>
      <c r="B157" t="s">
        <v>395</v>
      </c>
      <c r="C157" s="2">
        <v>498.7</v>
      </c>
      <c r="D157" t="s">
        <v>10</v>
      </c>
      <c r="E157" s="1">
        <v>48.8</v>
      </c>
      <c r="F157" s="1">
        <v>499</v>
      </c>
      <c r="G157">
        <f>1/498.7*1000</f>
        <v>2.0052135552436336</v>
      </c>
      <c r="H157">
        <f>1/48.8*10</f>
        <v>0.20491803278688525</v>
      </c>
      <c r="I157" t="s">
        <v>397</v>
      </c>
    </row>
    <row r="158" spans="1:9" x14ac:dyDescent="0.25">
      <c r="A158" t="s">
        <v>394</v>
      </c>
      <c r="B158" t="s">
        <v>385</v>
      </c>
      <c r="C158" s="2">
        <v>556.9</v>
      </c>
      <c r="D158" t="s">
        <v>10</v>
      </c>
      <c r="E158" s="1">
        <v>61.8</v>
      </c>
      <c r="F158" s="1">
        <v>557</v>
      </c>
      <c r="G158">
        <f>1/556.9*1000</f>
        <v>1.7956545160711079</v>
      </c>
      <c r="H158">
        <f>1/61.8*10</f>
        <v>0.16181229773462785</v>
      </c>
      <c r="I158" t="s">
        <v>116</v>
      </c>
    </row>
    <row r="159" spans="1:9" x14ac:dyDescent="0.25">
      <c r="A159" t="s">
        <v>398</v>
      </c>
      <c r="B159" t="s">
        <v>270</v>
      </c>
      <c r="C159" s="2">
        <v>239.7</v>
      </c>
      <c r="D159" t="s">
        <v>10</v>
      </c>
      <c r="E159" s="1">
        <v>8.5</v>
      </c>
      <c r="F159" s="1">
        <v>240</v>
      </c>
      <c r="G159">
        <f>1/239.7*1000</f>
        <v>4.1718815185648728</v>
      </c>
      <c r="H159">
        <f>1/8.5*10</f>
        <v>1.1764705882352942</v>
      </c>
      <c r="I159" t="s">
        <v>271</v>
      </c>
    </row>
    <row r="160" spans="1:9" x14ac:dyDescent="0.25">
      <c r="A160" t="s">
        <v>399</v>
      </c>
      <c r="B160" t="s">
        <v>294</v>
      </c>
      <c r="C160" s="2">
        <v>295.39999999999998</v>
      </c>
      <c r="D160" t="s">
        <v>10</v>
      </c>
      <c r="E160" s="1">
        <v>7.8</v>
      </c>
      <c r="F160" s="1">
        <v>295</v>
      </c>
      <c r="G160">
        <f>1/295.4*1000</f>
        <v>3.3852403520649967</v>
      </c>
      <c r="H160">
        <f>1/7.8*10</f>
        <v>1.2820512820512822</v>
      </c>
      <c r="I160" t="s">
        <v>295</v>
      </c>
    </row>
    <row r="161" spans="1:9" x14ac:dyDescent="0.25">
      <c r="A161" t="s">
        <v>401</v>
      </c>
      <c r="B161" t="s">
        <v>402</v>
      </c>
      <c r="C161" s="2">
        <v>295.5</v>
      </c>
      <c r="D161" t="s">
        <v>10</v>
      </c>
      <c r="E161" s="1">
        <v>14.7</v>
      </c>
      <c r="F161" s="1">
        <v>296</v>
      </c>
      <c r="G161">
        <f>1/295.5*1000</f>
        <v>3.3840947546531304</v>
      </c>
      <c r="H161">
        <f>1/14.7*10</f>
        <v>0.6802721088435375</v>
      </c>
      <c r="I161" t="s">
        <v>418</v>
      </c>
    </row>
    <row r="162" spans="1:9" x14ac:dyDescent="0.25">
      <c r="A162" t="s">
        <v>400</v>
      </c>
      <c r="B162" t="s">
        <v>403</v>
      </c>
      <c r="C162" s="2">
        <v>416.9</v>
      </c>
      <c r="D162" t="s">
        <v>10</v>
      </c>
      <c r="E162" s="1">
        <v>37.4</v>
      </c>
      <c r="F162" s="1">
        <v>417</v>
      </c>
      <c r="G162">
        <f>1/416.9*1000</f>
        <v>2.3986567522187578</v>
      </c>
      <c r="H162">
        <f>1/37.4*10</f>
        <v>0.26737967914438504</v>
      </c>
      <c r="I162" t="s">
        <v>419</v>
      </c>
    </row>
    <row r="163" spans="1:9" x14ac:dyDescent="0.25">
      <c r="A163" t="s">
        <v>404</v>
      </c>
      <c r="B163" t="s">
        <v>405</v>
      </c>
      <c r="C163" s="2">
        <v>245.6</v>
      </c>
      <c r="D163" t="s">
        <v>10</v>
      </c>
      <c r="E163" s="1">
        <v>19.2</v>
      </c>
      <c r="F163" s="1">
        <v>246</v>
      </c>
      <c r="G163">
        <f>1/245.6*1000</f>
        <v>4.0716612377850163</v>
      </c>
      <c r="H163">
        <f>1/19.2*10</f>
        <v>0.52083333333333337</v>
      </c>
      <c r="I163" t="s">
        <v>420</v>
      </c>
    </row>
    <row r="164" spans="1:9" x14ac:dyDescent="0.25">
      <c r="A164" t="s">
        <v>406</v>
      </c>
      <c r="B164" t="s">
        <v>407</v>
      </c>
      <c r="C164" s="2">
        <v>175</v>
      </c>
      <c r="D164" t="s">
        <v>10</v>
      </c>
      <c r="E164" s="1">
        <v>5.0999999999999996</v>
      </c>
      <c r="F164" s="1">
        <v>175</v>
      </c>
      <c r="G164">
        <f>1/175*1000</f>
        <v>5.7142857142857144</v>
      </c>
      <c r="H164">
        <f>1/5.1*10</f>
        <v>1.9607843137254903</v>
      </c>
      <c r="I164" t="s">
        <v>421</v>
      </c>
    </row>
    <row r="165" spans="1:9" x14ac:dyDescent="0.25">
      <c r="A165" t="s">
        <v>408</v>
      </c>
      <c r="B165" t="s">
        <v>409</v>
      </c>
      <c r="C165" s="2">
        <v>131</v>
      </c>
      <c r="D165" t="s">
        <v>10</v>
      </c>
      <c r="E165" s="1">
        <v>11.7</v>
      </c>
      <c r="F165" s="1">
        <v>131</v>
      </c>
      <c r="G165">
        <f>1/131*1000</f>
        <v>7.6335877862595414</v>
      </c>
      <c r="H165">
        <f>1/11.7*10</f>
        <v>0.85470085470085477</v>
      </c>
      <c r="I165" t="s">
        <v>128</v>
      </c>
    </row>
    <row r="166" spans="1:9" x14ac:dyDescent="0.25">
      <c r="A166" t="s">
        <v>410</v>
      </c>
      <c r="B166" t="s">
        <v>156</v>
      </c>
      <c r="C166" s="2">
        <v>733.9</v>
      </c>
      <c r="D166" t="s">
        <v>10</v>
      </c>
      <c r="E166" s="1">
        <v>159</v>
      </c>
      <c r="F166" s="1">
        <v>734</v>
      </c>
      <c r="G166">
        <f>1/733.9*1000</f>
        <v>1.362583458236817</v>
      </c>
      <c r="H166">
        <f>1/159*100</f>
        <v>0.62893081761006298</v>
      </c>
      <c r="I166" t="s">
        <v>157</v>
      </c>
    </row>
    <row r="167" spans="1:9" x14ac:dyDescent="0.25">
      <c r="A167" t="s">
        <v>411</v>
      </c>
      <c r="B167" t="s">
        <v>412</v>
      </c>
      <c r="C167" s="2">
        <v>0</v>
      </c>
      <c r="D167" t="s">
        <v>10</v>
      </c>
      <c r="E167" s="1">
        <v>0</v>
      </c>
      <c r="F167" s="1">
        <v>0</v>
      </c>
      <c r="G167" s="1">
        <v>0</v>
      </c>
      <c r="H167" s="1">
        <v>0</v>
      </c>
      <c r="I167" t="s">
        <v>418</v>
      </c>
    </row>
    <row r="168" spans="1:9" x14ac:dyDescent="0.25">
      <c r="A168" t="s">
        <v>413</v>
      </c>
      <c r="B168" t="s">
        <v>414</v>
      </c>
      <c r="C168" s="2">
        <v>862</v>
      </c>
      <c r="D168" t="s">
        <v>10</v>
      </c>
      <c r="E168" s="1">
        <v>128</v>
      </c>
      <c r="F168" s="1">
        <v>862</v>
      </c>
      <c r="G168">
        <f>1/862*1000</f>
        <v>1.160092807424594</v>
      </c>
      <c r="H168">
        <f>1/128*100</f>
        <v>0.78125</v>
      </c>
      <c r="I168" t="s">
        <v>419</v>
      </c>
    </row>
    <row r="169" spans="1:9" x14ac:dyDescent="0.25">
      <c r="A169" t="s">
        <v>415</v>
      </c>
      <c r="B169" t="s">
        <v>417</v>
      </c>
      <c r="C169" s="2">
        <v>190.9</v>
      </c>
      <c r="D169" t="s">
        <v>10</v>
      </c>
      <c r="E169" s="1">
        <v>23.8</v>
      </c>
      <c r="F169" s="1">
        <v>191</v>
      </c>
      <c r="G169">
        <f>1/190.9*1000</f>
        <v>5.2383446830801468</v>
      </c>
      <c r="H169">
        <f>1/23.8*10</f>
        <v>0.42016806722689071</v>
      </c>
      <c r="I169" t="s">
        <v>422</v>
      </c>
    </row>
    <row r="170" spans="1:9" x14ac:dyDescent="0.25">
      <c r="A170" t="s">
        <v>416</v>
      </c>
      <c r="B170" t="s">
        <v>215</v>
      </c>
      <c r="C170" s="2">
        <v>88.7</v>
      </c>
      <c r="D170" t="s">
        <v>10</v>
      </c>
      <c r="E170" s="1">
        <v>4.9000000000000004</v>
      </c>
      <c r="F170" s="1">
        <v>89</v>
      </c>
      <c r="G170">
        <f>1/88.7*1000</f>
        <v>11.273957158962796</v>
      </c>
      <c r="H170">
        <f>1/4.9*10</f>
        <v>2.0408163265306118</v>
      </c>
      <c r="I170" t="s">
        <v>216</v>
      </c>
    </row>
  </sheetData>
  <pageMargins left="0.7" right="0.7" top="0.75" bottom="0.75" header="0.3" footer="0.3"/>
  <pageSetup orientation="portrait" horizontalDpi="4294967295" verticalDpi="4294967295" r:id="rId1"/>
  <ignoredErrors>
    <ignoredError sqref="E12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iMac2011</dc:creator>
  <cp:lastModifiedBy>iMac2011</cp:lastModifiedBy>
  <dcterms:created xsi:type="dcterms:W3CDTF">2026-01-15T19:56:28Z</dcterms:created>
  <dcterms:modified xsi:type="dcterms:W3CDTF">2026-03-12T19:52:49Z</dcterms:modified>
</cp:coreProperties>
</file>