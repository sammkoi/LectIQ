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W:\LectIQ_database\"/>
    </mc:Choice>
  </mc:AlternateContent>
  <bookViews>
    <workbookView xWindow="12180" yWindow="870" windowWidth="16365" windowHeight="14175"/>
  </bookViews>
  <sheets>
    <sheet name="hGal-1" sheetId="5" r:id="rId1"/>
    <sheet name="hGal-3C" sheetId="1" r:id="rId2"/>
    <sheet name="hGal-7" sheetId="6" r:id="rId3"/>
    <sheet name="hGal-9N" sheetId="7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1" i="1"/>
  <c r="D32" i="1"/>
  <c r="D33" i="1"/>
  <c r="D34" i="1"/>
  <c r="D2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9" i="6"/>
  <c r="D30" i="6"/>
  <c r="D31" i="6"/>
  <c r="D32" i="6"/>
  <c r="D33" i="6"/>
  <c r="D34" i="6"/>
  <c r="D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2" i="7"/>
  <c r="D23" i="7"/>
  <c r="D24" i="7"/>
  <c r="D31" i="7"/>
  <c r="D32" i="7"/>
  <c r="D33" i="7"/>
  <c r="D34" i="7"/>
  <c r="D2" i="7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2" i="5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2" i="7"/>
  <c r="C23" i="7"/>
  <c r="C24" i="7"/>
  <c r="C31" i="7"/>
  <c r="C32" i="7"/>
  <c r="C33" i="7"/>
  <c r="C34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9" i="6"/>
  <c r="C30" i="6"/>
  <c r="C31" i="6"/>
  <c r="C32" i="6"/>
  <c r="C33" i="6"/>
  <c r="C34" i="6"/>
  <c r="C2" i="6"/>
  <c r="C9" i="5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1" i="1"/>
  <c r="C32" i="1"/>
  <c r="C33" i="1"/>
  <c r="C34" i="1"/>
  <c r="C2" i="1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2" i="5"/>
</calcChain>
</file>

<file path=xl/sharedStrings.xml><?xml version="1.0" encoding="utf-8"?>
<sst xmlns="http://schemas.openxmlformats.org/spreadsheetml/2006/main" count="602" uniqueCount="179">
  <si>
    <t>ID</t>
  </si>
  <si>
    <t>Glycan</t>
  </si>
  <si>
    <t>1/Kd</t>
  </si>
  <si>
    <t>NB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</si>
  <si>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</si>
  <si>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</si>
  <si>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</si>
  <si>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</si>
  <si>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</si>
  <si>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</si>
  <si>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</si>
  <si>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</si>
  <si>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</si>
  <si>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</si>
  <si>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</si>
  <si>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</si>
  <si>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</si>
  <si>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</si>
  <si>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</si>
  <si>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</si>
  <si>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</si>
  <si>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</si>
  <si>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</si>
  <si>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</si>
  <si>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</si>
  <si>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</si>
  <si>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</si>
  <si>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</si>
  <si>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</si>
  <si>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</si>
  <si>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</si>
  <si>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</si>
  <si>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</si>
  <si>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</si>
  <si>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</si>
  <si>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</si>
  <si>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</si>
  <si>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SD</t>
  </si>
  <si>
    <t>β-D-Gal-(1→4)-β-D-GlcNAc(1→3)-β-D-Gal(1→4)-β-D-GlcNAc(1→3)-β-D-Gal(1→4)-βD-Glc</t>
  </si>
  <si>
    <t>α-D-Neu5Ac(2→3)-β-D-Gal(1→3)-[α-L-Fuc(1→4)]-β-D-GlcNAc(1→3)-β-D-Gal(1→4)-βD-Glc</t>
  </si>
  <si>
    <t>α-L-Fuc(1→2)-β-D-Gal(1→3)-β-D-GlcNAc(1→3)-β-D-Gal(1→4)-β-D-Glc</t>
  </si>
  <si>
    <t>β-D-Gal(1→3)-[α-L-Fuc(1→4)]-β-D-GlcNAc(1→3)-β-D-Gal(1→4)-β-D-Glc</t>
  </si>
  <si>
    <t>β-D-Gal-(1→4)-β-D-GlcNAc-(1→3)-β-D-Gal-(1→4)-β-D-GlcNAc-(1→3)- β-D-Gal-(1→4)-β-D-GlcNAc-(1→3)-β-D-Gal-(1→4)-β-D-Glc</t>
  </si>
  <si>
    <t xml:space="preserve">β-D-Gal(1→4)-β-D-GlcNAc(1→3)-β-D-Gal(1→4)-β-D-Glc </t>
  </si>
  <si>
    <t>β-D-Gal-(1→4)-[α-L-Fuc-(1→3)]-β-D-GlcNAc-(1→3)-β-D-Gal-(1→4)-β-D-Glc</t>
  </si>
  <si>
    <t>β-D-Gal(1→4)-β-D-GlcNAc(1→6)-[-β-D-Gal(1→4)-β-D-GlcNAc(1→3)]-β-DGal(β1→4)-β-D-Glc</t>
  </si>
  <si>
    <t>β-D-Gal(1→3)-β-D-GlcNAc(1→3)-β-D-Gal(1→4)-β-D-Glc</t>
  </si>
  <si>
    <t>β-D-Gal-(1→4)-[α-L-Fuc-(1→3)]-β-D-GlcNAc-(1→6)-[α-L-Fuc-(1→2)-β-D-Gal-(1→3)-β-D-GlcNAc-(1→3)]-β-D-Gal-(1→4)-β-D-Glc</t>
  </si>
  <si>
    <t>α-D-Neu5Ac(2→3)-β-D-Gal(1→3)-β-D-GlcNAc(1→3)-β-D-Gal(1→4)-β-D-Glc</t>
  </si>
  <si>
    <t>α-D-Neu5Ac(2→3)-β-D-Gal(1→4)-β-D-GlcNAc(1→3)-β-D-Gal(1→4)-β-D-Glc</t>
  </si>
  <si>
    <t>α-L-Fuc-(1→2)-β-D-Gal-(1→3)-[α-L-Fuc-(1→4)]-β-D-GlcNAc-(1→3)-β-D-Gal(1→4)-βD-Glc</t>
  </si>
  <si>
    <t>α-L-Fuc-(1→2)-β-D-Gal-(1→3)-[α-D-Neu5Ac-(2→6)]-β-D-GlcNAc-(1→3)-β-D-Gal-(1→4)-β-D-Glc</t>
  </si>
  <si>
    <t>α-D-Neu5Ac(2→6)-β-D-Gal(1→4)-β-D-GlcNAc(1→3)-β-D-Gal(1→4)-β-D-Glc</t>
  </si>
  <si>
    <t>α-L-Fuc-(1→2)-β-D-Gal-(1→4)-β-D-Glc</t>
  </si>
  <si>
    <t>β-D-Gal(1→3)-β-D-GlcNAc(1→3)-β-D-Gal(1→4)-[α-L-Fuc(1→3)]-β-D-Glc</t>
  </si>
  <si>
    <t>α-D-Neu5Ac-(2→3)-β-D-Gal(1→4)-β-D-Glc</t>
  </si>
  <si>
    <t>β-D-GlcNAc(1→3)-β-D-Gal(1→4)-β-D-Glc</t>
  </si>
  <si>
    <t>α-D-Neu5Ac-(2→3)-β-D-Gal-(1→3)-[α-D-Neu5Ac-(2→6)]-β-D-GlcNAc-(1→3)-β-D-Gal-(1→4)-β-D-Glc</t>
  </si>
  <si>
    <t>β-D-Gal(1→4)-β-D-GlcNAc(1→3)-β-D-Gal(1→4)-[α-L-Fuc(1→3)]-β-D-Glc</t>
  </si>
  <si>
    <t>α-D-Neu5Ac(2→6)-[β-D-Gal(1→3)]-β-D-GlcNAc(1→3)-β-D-Gal(1→4)-β-D-Glc</t>
  </si>
  <si>
    <t>β-D-Gal(1→3)-[α-L-Fuc(1→4)]-β-D-GlcNAc(1→3)-β-D-Gal(1→4)-[α-L-Fuc(1→3)]-β-DGlcNAc(1→3)-β-D-Gal(1→4)-β-D-Glc</t>
  </si>
  <si>
    <t>β-D-Gal(1→4)-[α-L-Fuc(1→3)]-β-D-Glc</t>
  </si>
  <si>
    <t>α-D-Neu5Ac(2→6)-β-D-Gal(1→4)-β-D-Glc</t>
  </si>
  <si>
    <t>α-L-Fuc(1→2)- β-D-Gal(1→4)-[α-L-Fuc(1→3)]-β-D-Glc</t>
  </si>
  <si>
    <t>α-D-Neu5Ac(2→3)-β-D-Gal(1→4)-[α-L-Fuc(α1→3)]-β-D-Glc</t>
  </si>
  <si>
    <t>β-D-Gal(1→3)-[α-L-Fuc(1→4)]-β-D-GlcNAc(1→3)-β-D-Gal(1→4)-[α-D-Fuc(1→3)]-β-DGlc</t>
  </si>
  <si>
    <t>β-D-Gal(1→4)-[α-L-Fuc(1→3)]-β-D-GlcNAc(1→3)-β-D-Gal(1→4)-[α-D-Fuc(1→3)]-β-DGlc</t>
  </si>
  <si>
    <t>β-D-Gal-(1→4)-β-D-Glc</t>
  </si>
  <si>
    <t>α-D-GalNAc-(1→3)-[α-L-Fuc-(1→2)]-β-D-Gal-(1→4)-β-D-Glc</t>
  </si>
  <si>
    <t>α-D-GalNAc-(1→3)-[α-L-Fuc-(1→2)]-β-D-Gal-(1→3)-β-D-GlcNAc-(1→3)-β-D-Gal-(1→4)-β-D-Glc</t>
  </si>
  <si>
    <t>β-D-Gal-(1→4)-β-D-GlcNAc</t>
  </si>
  <si>
    <t>GlyTouCan ID</t>
  </si>
  <si>
    <t>G70000DB</t>
  </si>
  <si>
    <t>G40184OL</t>
  </si>
  <si>
    <t>G19490AF</t>
  </si>
  <si>
    <t>G21067JW</t>
  </si>
  <si>
    <t>G97732OH</t>
  </si>
  <si>
    <t>G00070MO</t>
  </si>
  <si>
    <t>G71213YU</t>
  </si>
  <si>
    <t>G54765IU</t>
  </si>
  <si>
    <t>G00069MO</t>
  </si>
  <si>
    <t>G81182NV</t>
  </si>
  <si>
    <t>G07835SR</t>
  </si>
  <si>
    <t>G37805DA</t>
  </si>
  <si>
    <t>G24267OV</t>
  </si>
  <si>
    <t>G47863IJ</t>
  </si>
  <si>
    <t>G23651JJ</t>
  </si>
  <si>
    <t>G49708ZB</t>
  </si>
  <si>
    <t>G79449CY</t>
  </si>
  <si>
    <t>G40764VP</t>
  </si>
  <si>
    <t>G52966FX</t>
  </si>
  <si>
    <t>G35879BG</t>
  </si>
  <si>
    <t>G34294BW</t>
  </si>
  <si>
    <t>G23681XP</t>
  </si>
  <si>
    <t>G31760OO</t>
  </si>
  <si>
    <t>G94468TS</t>
  </si>
  <si>
    <t>G77019UJ</t>
  </si>
  <si>
    <t>G81220GC</t>
  </si>
  <si>
    <t>G76568UL</t>
  </si>
  <si>
    <t>G25361DH</t>
  </si>
  <si>
    <t>G89523CC</t>
  </si>
  <si>
    <t>G15541SE</t>
  </si>
  <si>
    <t>G01714NT</t>
  </si>
  <si>
    <t>G91240HI</t>
  </si>
  <si>
    <t>G66213AR</t>
  </si>
  <si>
    <t>Kd, mM</t>
  </si>
  <si>
    <t>Kd, uM</t>
  </si>
  <si>
    <t>stdev_Kd</t>
  </si>
  <si>
    <t>15 ± 0.5</t>
  </si>
  <si>
    <t>12 ± 0.1</t>
  </si>
  <si>
    <t>8 ± 0.4</t>
  </si>
  <si>
    <t>8 ± 0.6</t>
  </si>
  <si>
    <t>11 ± 0.4</t>
  </si>
  <si>
    <t>16 ± 1.0</t>
  </si>
  <si>
    <t>17 ± 0.3</t>
  </si>
  <si>
    <t>18 ± 0.6</t>
  </si>
  <si>
    <t>19 ± 0.7</t>
  </si>
  <si>
    <t>24 ± 0.6</t>
  </si>
  <si>
    <t>25 ± 0.6</t>
  </si>
  <si>
    <t>45 ± 2.1</t>
  </si>
  <si>
    <t>48 ± 4.5</t>
  </si>
  <si>
    <t>50 ± 2.5</t>
  </si>
  <si>
    <t>67 ± 4.4</t>
  </si>
  <si>
    <t>30 ± 1.8</t>
  </si>
  <si>
    <t>77 ± 5.9</t>
  </si>
  <si>
    <t>100 ± 10.0</t>
  </si>
  <si>
    <t>500 ± 250</t>
  </si>
  <si>
    <t>NB ± NB</t>
  </si>
  <si>
    <t>12 ± 0.3</t>
  </si>
  <si>
    <t>11 ± 0.7</t>
  </si>
  <si>
    <t>0.25 ± 0.06</t>
  </si>
  <si>
    <t>0.13 ± 0.03</t>
  </si>
  <si>
    <t>0.10 ± 0.01</t>
  </si>
  <si>
    <t>0.14 ± 0.02</t>
  </si>
  <si>
    <t>0.20 ± 0.08</t>
  </si>
  <si>
    <t>0.08 ± 0.01</t>
  </si>
  <si>
    <t>0.13 ± 0.02</t>
  </si>
  <si>
    <t>0.20 ± 0.04</t>
  </si>
  <si>
    <t>0.17 ± 0.03</t>
  </si>
  <si>
    <t>0.33 ± 0.11</t>
  </si>
  <si>
    <t>0.07 ± 0.01</t>
  </si>
  <si>
    <t>0.50 ± 0.25</t>
  </si>
  <si>
    <t>1.00 ± 0.10</t>
  </si>
  <si>
    <t>1.00 ± 0.20</t>
  </si>
  <si>
    <t>0.04 ± 0.01</t>
  </si>
  <si>
    <t>2.8 ± 0.0</t>
  </si>
  <si>
    <t>4.0 ± 0.3</t>
  </si>
  <si>
    <t>2.4 ± 0.1</t>
  </si>
  <si>
    <t>28.6 ± 0.8</t>
  </si>
  <si>
    <t>8.3 ± 0.3</t>
  </si>
  <si>
    <t>7.4 ± 0.4</t>
  </si>
  <si>
    <t>111.1 ± 12.3</t>
  </si>
  <si>
    <t>15.9 ± 0.8</t>
  </si>
  <si>
    <t>71.4 ± 15.3</t>
  </si>
  <si>
    <t>14.3 ± 2.2</t>
  </si>
  <si>
    <t>100.0 ± 10.0</t>
  </si>
  <si>
    <t>15.2 ± 2.5</t>
  </si>
  <si>
    <t>90.9 ± 8.3</t>
  </si>
  <si>
    <t>7.7 ± 0.7</t>
  </si>
  <si>
    <t>125.0 ± 31.3</t>
  </si>
  <si>
    <t>83.3 ± 6.9</t>
  </si>
  <si>
    <t>166.7 ± 27.8</t>
  </si>
  <si>
    <t>20.8 ± 1.7</t>
  </si>
  <si>
    <t>142.9 ± 20.4</t>
  </si>
  <si>
    <t>58.8 ± 6.9</t>
  </si>
  <si>
    <t>333.3 ± 111.1</t>
  </si>
  <si>
    <t>9.1 ± 0.5</t>
  </si>
  <si>
    <t>5.0 ± 0.1</t>
  </si>
  <si>
    <t>43.5 ± 1.9</t>
  </si>
  <si>
    <r>
      <t xml:space="preserve">14.3 </t>
    </r>
    <r>
      <rPr>
        <b/>
        <sz val="11"/>
        <color theme="1"/>
        <rFont val="Calibri"/>
        <family val="2"/>
      </rPr>
      <t>±</t>
    </r>
    <r>
      <rPr>
        <b/>
        <sz val="8.8000000000000007"/>
        <color theme="1"/>
        <rFont val="Calibri"/>
        <family val="2"/>
      </rPr>
      <t xml:space="preserve"> 1.6</t>
    </r>
  </si>
  <si>
    <r>
      <t xml:space="preserve">0.11 </t>
    </r>
    <r>
      <rPr>
        <b/>
        <sz val="11"/>
        <color theme="1"/>
        <rFont val="Calibri"/>
        <family val="2"/>
      </rPr>
      <t>± 0.01</t>
    </r>
  </si>
  <si>
    <r>
      <t xml:space="preserve">11 </t>
    </r>
    <r>
      <rPr>
        <b/>
        <sz val="11"/>
        <color theme="1"/>
        <rFont val="Calibri"/>
        <family val="2"/>
      </rPr>
      <t>± 0.2</t>
    </r>
  </si>
  <si>
    <r>
      <t xml:space="preserve">0.05 </t>
    </r>
    <r>
      <rPr>
        <b/>
        <sz val="11"/>
        <color theme="1"/>
        <rFont val="Calibri"/>
        <family val="2"/>
      </rPr>
      <t>± 0.01</t>
    </r>
  </si>
  <si>
    <t>0.03 ± 0.00</t>
  </si>
  <si>
    <t>0.02 ± 0.00</t>
  </si>
  <si>
    <t>0.05 ± 0.00</t>
  </si>
  <si>
    <t>0.11 ± 0.01</t>
  </si>
  <si>
    <t>0.14 ± 0.22</t>
  </si>
  <si>
    <t>0.37 ± 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</si>
</sst>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71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.800000000000000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0" fillId="0" borderId="0" xfId="1" applyFont="1" applyAlignment="1">
      <alignment horizontal="center" vertical="center"/>
    </xf>
    <xf numFmtId="1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B26" sqref="B26"/>
    </sheetView>
  </sheetViews>
  <sheetFormatPr defaultRowHeight="15" x14ac:dyDescent="0.25"/>
  <cols>
    <col min="1" max="1" width="8" customWidth="1"/>
    <col min="2" max="2" width="110.28515625" style="5" customWidth="1"/>
    <col min="3" max="3" width="9.140625" style="1" customWidth="1"/>
    <col min="4" max="4" width="9.140625" style="11" customWidth="1"/>
    <col min="5" max="5" width="12" style="11" bestFit="1" customWidth="1"/>
    <col min="6" max="7" width="9.140625" style="1"/>
    <col min="8" max="8" width="12.85546875" style="8" customWidth="1"/>
  </cols>
  <sheetData>
    <row r="1" spans="1:8" x14ac:dyDescent="0.25">
      <c r="A1" t="s">
        <v>0</v>
      </c>
      <c r="B1" s="5" t="s">
        <v>1</v>
      </c>
      <c r="C1" s="2" t="s">
        <v>105</v>
      </c>
      <c r="D1" s="8" t="s">
        <v>107</v>
      </c>
      <c r="E1" s="18" t="s">
        <v>105</v>
      </c>
      <c r="F1" s="2" t="s">
        <v>2</v>
      </c>
      <c r="G1" s="2" t="s">
        <v>37</v>
      </c>
      <c r="H1" s="8" t="s">
        <v>71</v>
      </c>
    </row>
    <row r="2" spans="1:8" x14ac:dyDescent="0.25">
      <c r="A2" t="s">
        <v>4</v>
      </c>
      <c r="B2" s="5" t="s">
        <v>38</v>
      </c>
      <c r="C2" s="15">
        <f>1/F2/10</f>
        <v>4.5454545454545456E-2</v>
      </c>
      <c r="D2" s="15">
        <f>G2/F2*C2</f>
        <v>8.2644628099173556E-3</v>
      </c>
      <c r="E2" s="19" t="s">
        <v>172</v>
      </c>
      <c r="F2" s="12">
        <v>2.2000000000000002</v>
      </c>
      <c r="G2" s="12">
        <v>0.4</v>
      </c>
      <c r="H2" s="8" t="s">
        <v>72</v>
      </c>
    </row>
    <row r="3" spans="1:8" x14ac:dyDescent="0.25">
      <c r="A3" s="3" t="s">
        <v>5</v>
      </c>
      <c r="B3" s="3" t="s">
        <v>39</v>
      </c>
      <c r="C3" s="15">
        <f t="shared" ref="C3:C34" si="0">1/F3/10</f>
        <v>0.33333333333333337</v>
      </c>
      <c r="D3" s="15">
        <f t="shared" ref="D3:D34" si="1">G3/F3*C3</f>
        <v>0.11111111111111113</v>
      </c>
      <c r="E3" s="19" t="s">
        <v>139</v>
      </c>
      <c r="F3" s="12">
        <v>0.3</v>
      </c>
      <c r="G3" s="12">
        <v>0.1</v>
      </c>
      <c r="H3" s="8" t="s">
        <v>73</v>
      </c>
    </row>
    <row r="4" spans="1:8" x14ac:dyDescent="0.25">
      <c r="A4" t="s">
        <v>6</v>
      </c>
      <c r="B4" s="5" t="s">
        <v>40</v>
      </c>
      <c r="C4" s="15">
        <f t="shared" si="0"/>
        <v>0.14285714285714285</v>
      </c>
      <c r="D4" s="15">
        <f t="shared" si="1"/>
        <v>2.0408163265306124E-2</v>
      </c>
      <c r="E4" s="19" t="s">
        <v>133</v>
      </c>
      <c r="F4" s="12">
        <v>0.7</v>
      </c>
      <c r="G4" s="12">
        <v>0.1</v>
      </c>
      <c r="H4" s="8" t="s">
        <v>74</v>
      </c>
    </row>
    <row r="5" spans="1:8" x14ac:dyDescent="0.25">
      <c r="A5" s="3" t="s">
        <v>7</v>
      </c>
      <c r="B5" s="3" t="s">
        <v>41</v>
      </c>
      <c r="C5" s="15">
        <f t="shared" si="0"/>
        <v>0.25</v>
      </c>
      <c r="D5" s="15">
        <f t="shared" si="1"/>
        <v>6.25E-2</v>
      </c>
      <c r="E5" s="19" t="s">
        <v>130</v>
      </c>
      <c r="F5" s="12">
        <v>0.4</v>
      </c>
      <c r="G5" s="12">
        <v>0.1</v>
      </c>
      <c r="H5" s="8" t="s">
        <v>75</v>
      </c>
    </row>
    <row r="6" spans="1:8" x14ac:dyDescent="0.25">
      <c r="A6" t="s">
        <v>8</v>
      </c>
      <c r="B6" s="5" t="s">
        <v>42</v>
      </c>
      <c r="C6" s="15">
        <f t="shared" si="0"/>
        <v>7.6923076923076913E-2</v>
      </c>
      <c r="D6" s="15">
        <f t="shared" si="1"/>
        <v>5.9171597633136093E-3</v>
      </c>
      <c r="E6" s="19" t="s">
        <v>135</v>
      </c>
      <c r="F6" s="12">
        <v>1.3</v>
      </c>
      <c r="G6" s="12">
        <v>0.1</v>
      </c>
      <c r="H6" s="8" t="s">
        <v>76</v>
      </c>
    </row>
    <row r="7" spans="1:8" x14ac:dyDescent="0.25">
      <c r="A7" t="s">
        <v>9</v>
      </c>
      <c r="B7" s="5" t="s">
        <v>43</v>
      </c>
      <c r="C7" s="15">
        <f t="shared" si="0"/>
        <v>8.3333333333333343E-2</v>
      </c>
      <c r="D7" s="15">
        <f t="shared" si="1"/>
        <v>6.9444444444444458E-3</v>
      </c>
      <c r="E7" s="19" t="s">
        <v>135</v>
      </c>
      <c r="F7" s="12">
        <v>1.2</v>
      </c>
      <c r="G7" s="12">
        <v>0.1</v>
      </c>
      <c r="H7" s="8" t="s">
        <v>77</v>
      </c>
    </row>
    <row r="8" spans="1:8" x14ac:dyDescent="0.25">
      <c r="A8" s="3" t="s">
        <v>10</v>
      </c>
      <c r="B8" s="3" t="s">
        <v>44</v>
      </c>
      <c r="C8" s="15">
        <f t="shared" si="0"/>
        <v>0.14285714285714285</v>
      </c>
      <c r="D8" s="15">
        <f t="shared" si="1"/>
        <v>2.0408163265306124E-2</v>
      </c>
      <c r="E8" s="19" t="s">
        <v>133</v>
      </c>
      <c r="F8" s="12">
        <v>0.7</v>
      </c>
      <c r="G8" s="12">
        <v>0.1</v>
      </c>
      <c r="H8" s="8" t="s">
        <v>78</v>
      </c>
    </row>
    <row r="9" spans="1:8" x14ac:dyDescent="0.25">
      <c r="A9" s="11" t="s">
        <v>11</v>
      </c>
      <c r="B9" s="11" t="s">
        <v>45</v>
      </c>
      <c r="C9" s="15">
        <f t="shared" si="0"/>
        <v>3.0303030303030304E-2</v>
      </c>
      <c r="D9" s="15">
        <f t="shared" si="1"/>
        <v>1.8365472910927461E-3</v>
      </c>
      <c r="E9" s="19" t="s">
        <v>173</v>
      </c>
      <c r="F9" s="12">
        <v>3.3</v>
      </c>
      <c r="G9" s="12">
        <v>0.2</v>
      </c>
      <c r="H9" s="12" t="s">
        <v>79</v>
      </c>
    </row>
    <row r="10" spans="1:8" x14ac:dyDescent="0.25">
      <c r="A10" t="s">
        <v>12</v>
      </c>
      <c r="B10" s="5" t="s">
        <v>46</v>
      </c>
      <c r="C10" s="15">
        <f t="shared" si="0"/>
        <v>1.886792452830189E-2</v>
      </c>
      <c r="D10" s="15">
        <f t="shared" si="1"/>
        <v>3.2039871840512644E-3</v>
      </c>
      <c r="E10" s="19" t="s">
        <v>174</v>
      </c>
      <c r="F10" s="12">
        <v>5.3</v>
      </c>
      <c r="G10" s="12">
        <v>0.9</v>
      </c>
      <c r="H10" s="8" t="s">
        <v>80</v>
      </c>
    </row>
    <row r="11" spans="1:8" x14ac:dyDescent="0.25">
      <c r="A11" s="4" t="s">
        <v>13</v>
      </c>
      <c r="B11" s="3" t="s">
        <v>47</v>
      </c>
      <c r="C11" s="15">
        <f t="shared" si="0"/>
        <v>8.3333333333333343E-2</v>
      </c>
      <c r="D11" s="15">
        <f t="shared" si="1"/>
        <v>6.9444444444444458E-3</v>
      </c>
      <c r="E11" s="19" t="s">
        <v>135</v>
      </c>
      <c r="F11" s="12">
        <v>1.2</v>
      </c>
      <c r="G11" s="12">
        <v>0.1</v>
      </c>
      <c r="H11" s="8" t="s">
        <v>81</v>
      </c>
    </row>
    <row r="12" spans="1:8" x14ac:dyDescent="0.25">
      <c r="A12" t="s">
        <v>14</v>
      </c>
      <c r="B12" s="5" t="s">
        <v>48</v>
      </c>
      <c r="C12" s="15">
        <f t="shared" si="0"/>
        <v>0.05</v>
      </c>
      <c r="D12" s="15">
        <f t="shared" si="1"/>
        <v>2.5000000000000005E-3</v>
      </c>
      <c r="E12" s="19" t="s">
        <v>175</v>
      </c>
      <c r="F12" s="12">
        <v>2</v>
      </c>
      <c r="G12" s="12">
        <v>0.1</v>
      </c>
      <c r="H12" s="8" t="s">
        <v>82</v>
      </c>
    </row>
    <row r="13" spans="1:8" x14ac:dyDescent="0.25">
      <c r="A13" t="s">
        <v>15</v>
      </c>
      <c r="B13" s="5" t="s">
        <v>49</v>
      </c>
      <c r="C13" s="15">
        <f t="shared" si="0"/>
        <v>0.11111111111111112</v>
      </c>
      <c r="D13" s="15">
        <f t="shared" si="1"/>
        <v>1.234567901234568E-2</v>
      </c>
      <c r="E13" s="19" t="s">
        <v>176</v>
      </c>
      <c r="F13" s="12">
        <v>0.9</v>
      </c>
      <c r="G13" s="12">
        <v>0.1</v>
      </c>
      <c r="H13" s="8" t="s">
        <v>83</v>
      </c>
    </row>
    <row r="14" spans="1:8" x14ac:dyDescent="0.25">
      <c r="A14" s="6" t="s">
        <v>16</v>
      </c>
      <c r="B14" s="3" t="s">
        <v>50</v>
      </c>
      <c r="C14" s="15">
        <f t="shared" si="0"/>
        <v>0.5</v>
      </c>
      <c r="D14" s="15">
        <f t="shared" si="1"/>
        <v>0.25</v>
      </c>
      <c r="E14" s="19" t="s">
        <v>141</v>
      </c>
      <c r="F14" s="12">
        <v>0.2</v>
      </c>
      <c r="G14" s="12">
        <v>0.1</v>
      </c>
      <c r="H14" s="8" t="s">
        <v>84</v>
      </c>
    </row>
    <row r="15" spans="1:8" x14ac:dyDescent="0.25">
      <c r="A15" t="s">
        <v>17</v>
      </c>
      <c r="B15" s="5" t="s">
        <v>51</v>
      </c>
      <c r="C15" s="15">
        <f t="shared" si="0"/>
        <v>0.5</v>
      </c>
      <c r="D15" s="15">
        <f t="shared" si="1"/>
        <v>0.25</v>
      </c>
      <c r="E15" s="19" t="s">
        <v>141</v>
      </c>
      <c r="F15" s="12">
        <v>0.2</v>
      </c>
      <c r="G15" s="12">
        <v>0.1</v>
      </c>
      <c r="H15" s="8" t="s">
        <v>85</v>
      </c>
    </row>
    <row r="16" spans="1:8" x14ac:dyDescent="0.25">
      <c r="A16" t="s">
        <v>18</v>
      </c>
      <c r="B16" s="5" t="s">
        <v>52</v>
      </c>
      <c r="C16" s="15">
        <f t="shared" si="0"/>
        <v>0.5</v>
      </c>
      <c r="D16" s="15">
        <f t="shared" si="1"/>
        <v>0.25</v>
      </c>
      <c r="E16" s="19" t="s">
        <v>141</v>
      </c>
      <c r="F16" s="12">
        <v>0.2</v>
      </c>
      <c r="G16" s="12">
        <v>0.1</v>
      </c>
      <c r="H16" s="8" t="s">
        <v>86</v>
      </c>
    </row>
    <row r="17" spans="1:8" x14ac:dyDescent="0.25">
      <c r="A17" s="6" t="s">
        <v>19</v>
      </c>
      <c r="B17" s="3" t="s">
        <v>53</v>
      </c>
      <c r="C17" s="15">
        <f t="shared" si="0"/>
        <v>0.1</v>
      </c>
      <c r="D17" s="15">
        <f t="shared" si="1"/>
        <v>1.0000000000000002E-2</v>
      </c>
      <c r="E17" s="19" t="s">
        <v>132</v>
      </c>
      <c r="F17" s="12">
        <v>1</v>
      </c>
      <c r="G17" s="12">
        <v>0.1</v>
      </c>
      <c r="H17" s="8" t="s">
        <v>87</v>
      </c>
    </row>
    <row r="18" spans="1:8" x14ac:dyDescent="0.25">
      <c r="A18" s="6" t="s">
        <v>20</v>
      </c>
      <c r="B18" s="3" t="s">
        <v>54</v>
      </c>
      <c r="C18" s="15">
        <f t="shared" si="0"/>
        <v>0.14285714285714285</v>
      </c>
      <c r="D18" s="15">
        <f t="shared" si="1"/>
        <v>0.22448979591836737</v>
      </c>
      <c r="E18" s="19" t="s">
        <v>177</v>
      </c>
      <c r="F18" s="12">
        <v>0.7</v>
      </c>
      <c r="G18" s="12">
        <v>1.1000000000000001</v>
      </c>
      <c r="H18" s="8" t="s">
        <v>88</v>
      </c>
    </row>
    <row r="19" spans="1:8" x14ac:dyDescent="0.25">
      <c r="A19" t="s">
        <v>21</v>
      </c>
      <c r="B19" s="5" t="s">
        <v>55</v>
      </c>
      <c r="C19" s="15">
        <f t="shared" si="0"/>
        <v>0.11111111111111112</v>
      </c>
      <c r="D19" s="15">
        <f t="shared" si="1"/>
        <v>1.234567901234568E-2</v>
      </c>
      <c r="E19" s="19" t="s">
        <v>176</v>
      </c>
      <c r="F19" s="12">
        <v>0.9</v>
      </c>
      <c r="G19" s="12">
        <v>0.1</v>
      </c>
      <c r="H19" s="8" t="s">
        <v>89</v>
      </c>
    </row>
    <row r="20" spans="1:8" x14ac:dyDescent="0.25">
      <c r="A20" t="s">
        <v>22</v>
      </c>
      <c r="B20" s="5" t="s">
        <v>56</v>
      </c>
      <c r="C20" s="15">
        <f t="shared" si="0"/>
        <v>0.25</v>
      </c>
      <c r="D20" s="15">
        <f t="shared" si="1"/>
        <v>6.25E-2</v>
      </c>
      <c r="E20" s="19" t="s">
        <v>130</v>
      </c>
      <c r="F20" s="12">
        <v>0.4</v>
      </c>
      <c r="G20" s="12">
        <v>0.1</v>
      </c>
      <c r="H20" s="8" t="s">
        <v>90</v>
      </c>
    </row>
    <row r="21" spans="1:8" x14ac:dyDescent="0.25">
      <c r="A21" s="4" t="s">
        <v>23</v>
      </c>
      <c r="B21" s="3" t="s">
        <v>57</v>
      </c>
      <c r="C21" s="15">
        <f t="shared" si="0"/>
        <v>0.5</v>
      </c>
      <c r="D21" s="15">
        <f t="shared" si="1"/>
        <v>0.25</v>
      </c>
      <c r="E21" s="19" t="s">
        <v>141</v>
      </c>
      <c r="F21" s="12">
        <v>0.2</v>
      </c>
      <c r="G21" s="12">
        <v>0.1</v>
      </c>
      <c r="H21" s="8" t="s">
        <v>91</v>
      </c>
    </row>
    <row r="22" spans="1:8" x14ac:dyDescent="0.25">
      <c r="A22" s="6" t="s">
        <v>24</v>
      </c>
      <c r="B22" s="3" t="s">
        <v>58</v>
      </c>
      <c r="C22" s="15">
        <f t="shared" si="0"/>
        <v>0.125</v>
      </c>
      <c r="D22" s="15">
        <f t="shared" si="1"/>
        <v>1.5625E-2</v>
      </c>
      <c r="E22" s="19" t="s">
        <v>136</v>
      </c>
      <c r="F22" s="12">
        <v>0.8</v>
      </c>
      <c r="G22" s="12">
        <v>0.1</v>
      </c>
      <c r="H22" s="8" t="s">
        <v>92</v>
      </c>
    </row>
    <row r="23" spans="1:8" x14ac:dyDescent="0.25">
      <c r="A23" s="6" t="s">
        <v>25</v>
      </c>
      <c r="B23" s="3" t="s">
        <v>59</v>
      </c>
      <c r="C23" s="15">
        <f t="shared" si="0"/>
        <v>0.5</v>
      </c>
      <c r="D23" s="15">
        <f t="shared" si="1"/>
        <v>0.25</v>
      </c>
      <c r="E23" s="19" t="s">
        <v>141</v>
      </c>
      <c r="F23" s="12">
        <v>0.2</v>
      </c>
      <c r="G23" s="12">
        <v>0.1</v>
      </c>
      <c r="H23" s="8" t="s">
        <v>93</v>
      </c>
    </row>
    <row r="24" spans="1:8" x14ac:dyDescent="0.25">
      <c r="A24" s="6" t="s">
        <v>26</v>
      </c>
      <c r="B24" s="3" t="s">
        <v>60</v>
      </c>
      <c r="C24" s="15">
        <f t="shared" si="0"/>
        <v>0.5</v>
      </c>
      <c r="D24" s="15">
        <f t="shared" si="1"/>
        <v>0.25</v>
      </c>
      <c r="E24" s="19" t="s">
        <v>141</v>
      </c>
      <c r="F24" s="12">
        <v>0.2</v>
      </c>
      <c r="G24" s="12">
        <v>0.1</v>
      </c>
      <c r="H24" s="8" t="s">
        <v>94</v>
      </c>
    </row>
    <row r="25" spans="1:8" x14ac:dyDescent="0.25">
      <c r="A25" s="6" t="s">
        <v>27</v>
      </c>
      <c r="B25" s="3" t="s">
        <v>61</v>
      </c>
      <c r="C25" s="15">
        <f t="shared" si="0"/>
        <v>0.5</v>
      </c>
      <c r="D25" s="15">
        <f t="shared" si="1"/>
        <v>0.25</v>
      </c>
      <c r="E25" s="19" t="s">
        <v>141</v>
      </c>
      <c r="F25" s="12">
        <v>0.2</v>
      </c>
      <c r="G25" s="12">
        <v>0.1</v>
      </c>
      <c r="H25" s="8" t="s">
        <v>95</v>
      </c>
    </row>
    <row r="26" spans="1:8" x14ac:dyDescent="0.25">
      <c r="A26" s="6" t="s">
        <v>28</v>
      </c>
      <c r="B26" s="3" t="s">
        <v>62</v>
      </c>
      <c r="C26" s="15">
        <f t="shared" si="0"/>
        <v>0.33333333333333337</v>
      </c>
      <c r="D26" s="15">
        <f t="shared" si="1"/>
        <v>0.11111111111111113</v>
      </c>
      <c r="E26" s="19" t="s">
        <v>139</v>
      </c>
      <c r="F26" s="12">
        <v>0.3</v>
      </c>
      <c r="G26" s="12">
        <v>0.1</v>
      </c>
      <c r="H26" s="8" t="s">
        <v>96</v>
      </c>
    </row>
    <row r="27" spans="1:8" x14ac:dyDescent="0.25">
      <c r="A27" s="6" t="s">
        <v>29</v>
      </c>
      <c r="B27" s="3" t="s">
        <v>63</v>
      </c>
      <c r="C27" s="15">
        <f t="shared" si="0"/>
        <v>0.5</v>
      </c>
      <c r="D27" s="15">
        <f t="shared" si="1"/>
        <v>0.25</v>
      </c>
      <c r="E27" s="19" t="s">
        <v>141</v>
      </c>
      <c r="F27" s="12">
        <v>0.2</v>
      </c>
      <c r="G27" s="12">
        <v>0.1</v>
      </c>
      <c r="H27" s="8" t="s">
        <v>97</v>
      </c>
    </row>
    <row r="28" spans="1:8" x14ac:dyDescent="0.25">
      <c r="A28" s="6" t="s">
        <v>30</v>
      </c>
      <c r="B28" s="3" t="s">
        <v>64</v>
      </c>
      <c r="C28" s="15">
        <f t="shared" si="0"/>
        <v>0.5</v>
      </c>
      <c r="D28" s="15">
        <f t="shared" si="1"/>
        <v>0.25</v>
      </c>
      <c r="E28" s="19" t="s">
        <v>141</v>
      </c>
      <c r="F28" s="12">
        <v>0.2</v>
      </c>
      <c r="G28" s="12">
        <v>0.1</v>
      </c>
      <c r="H28" s="8" t="s">
        <v>98</v>
      </c>
    </row>
    <row r="29" spans="1:8" x14ac:dyDescent="0.25">
      <c r="A29" s="6" t="s">
        <v>31</v>
      </c>
      <c r="B29" s="3" t="s">
        <v>65</v>
      </c>
      <c r="C29" s="15">
        <f t="shared" si="0"/>
        <v>0.25</v>
      </c>
      <c r="D29" s="15">
        <f t="shared" si="1"/>
        <v>6.25E-2</v>
      </c>
      <c r="E29" s="19" t="s">
        <v>130</v>
      </c>
      <c r="F29" s="12">
        <v>0.4</v>
      </c>
      <c r="G29" s="12">
        <v>0.1</v>
      </c>
      <c r="H29" s="8" t="s">
        <v>99</v>
      </c>
    </row>
    <row r="30" spans="1:8" x14ac:dyDescent="0.25">
      <c r="A30" s="6" t="s">
        <v>32</v>
      </c>
      <c r="B30" s="3" t="s">
        <v>66</v>
      </c>
      <c r="C30" s="15">
        <f t="shared" si="0"/>
        <v>0.5</v>
      </c>
      <c r="D30" s="15">
        <f t="shared" si="1"/>
        <v>0.25</v>
      </c>
      <c r="E30" s="19" t="s">
        <v>141</v>
      </c>
      <c r="F30" s="12">
        <v>0.2</v>
      </c>
      <c r="G30" s="12">
        <v>0.1</v>
      </c>
      <c r="H30" s="8" t="s">
        <v>100</v>
      </c>
    </row>
    <row r="31" spans="1:8" x14ac:dyDescent="0.25">
      <c r="A31" t="s">
        <v>33</v>
      </c>
      <c r="B31" s="5" t="s">
        <v>67</v>
      </c>
      <c r="C31" s="15">
        <f t="shared" si="0"/>
        <v>0.2</v>
      </c>
      <c r="D31" s="15">
        <f t="shared" si="1"/>
        <v>4.0000000000000008E-2</v>
      </c>
      <c r="E31" s="19" t="s">
        <v>137</v>
      </c>
      <c r="F31" s="12">
        <v>0.5</v>
      </c>
      <c r="G31" s="12">
        <v>0.1</v>
      </c>
      <c r="H31" s="8" t="s">
        <v>101</v>
      </c>
    </row>
    <row r="32" spans="1:8" x14ac:dyDescent="0.25">
      <c r="A32" s="6" t="s">
        <v>34</v>
      </c>
      <c r="B32" s="3" t="s">
        <v>68</v>
      </c>
      <c r="C32" s="15">
        <f t="shared" si="0"/>
        <v>0.16666666666666669</v>
      </c>
      <c r="D32" s="15">
        <f t="shared" si="1"/>
        <v>2.7777777777777783E-2</v>
      </c>
      <c r="E32" s="19" t="s">
        <v>138</v>
      </c>
      <c r="F32" s="12">
        <v>0.6</v>
      </c>
      <c r="G32" s="12">
        <v>0.1</v>
      </c>
      <c r="H32" s="8" t="s">
        <v>102</v>
      </c>
    </row>
    <row r="33" spans="1:8" x14ac:dyDescent="0.25">
      <c r="A33" s="6" t="s">
        <v>35</v>
      </c>
      <c r="B33" s="3" t="s">
        <v>69</v>
      </c>
      <c r="C33" s="15">
        <f t="shared" si="0"/>
        <v>0.33333333333333337</v>
      </c>
      <c r="D33" s="15">
        <f t="shared" si="1"/>
        <v>0.11111111111111113</v>
      </c>
      <c r="E33" s="19" t="s">
        <v>139</v>
      </c>
      <c r="F33" s="12">
        <v>0.3</v>
      </c>
      <c r="G33" s="12">
        <v>0.1</v>
      </c>
      <c r="H33" s="8" t="s">
        <v>103</v>
      </c>
    </row>
    <row r="34" spans="1:8" x14ac:dyDescent="0.25">
      <c r="A34" s="6" t="s">
        <v>36</v>
      </c>
      <c r="B34" s="3" t="s">
        <v>70</v>
      </c>
      <c r="C34" s="15">
        <f t="shared" si="0"/>
        <v>0.37037037037037035</v>
      </c>
      <c r="D34" s="15">
        <f t="shared" si="1"/>
        <v>4.115226337448559E-2</v>
      </c>
      <c r="E34" s="19" t="s">
        <v>178</v>
      </c>
      <c r="F34" s="12">
        <v>0.27</v>
      </c>
      <c r="G34" s="12">
        <v>0.03</v>
      </c>
      <c r="H34" s="24" t="s">
        <v>104</v>
      </c>
    </row>
    <row r="35" spans="1:8" x14ac:dyDescent="0.25">
      <c r="E35" s="2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B26" sqref="B26"/>
    </sheetView>
  </sheetViews>
  <sheetFormatPr defaultRowHeight="15" x14ac:dyDescent="0.25"/>
  <cols>
    <col min="2" max="2" width="132.7109375" customWidth="1"/>
    <col min="3" max="3" width="16" style="2" customWidth="1"/>
    <col min="4" max="4" width="16" style="8" customWidth="1"/>
    <col min="5" max="5" width="16" style="18" customWidth="1"/>
    <col min="6" max="6" width="15.28515625" style="2" customWidth="1"/>
    <col min="7" max="7" width="9.140625" style="2"/>
    <col min="8" max="8" width="12.7109375" style="2" customWidth="1"/>
  </cols>
  <sheetData>
    <row r="1" spans="1:8" x14ac:dyDescent="0.25">
      <c r="A1" t="s">
        <v>0</v>
      </c>
      <c r="B1" t="s">
        <v>1</v>
      </c>
      <c r="C1" s="2" t="s">
        <v>106</v>
      </c>
      <c r="D1" s="8" t="s">
        <v>107</v>
      </c>
      <c r="E1" s="18" t="s">
        <v>106</v>
      </c>
      <c r="F1" s="2" t="s">
        <v>2</v>
      </c>
      <c r="G1" s="2" t="s">
        <v>37</v>
      </c>
      <c r="H1" s="2" t="s">
        <v>71</v>
      </c>
    </row>
    <row r="2" spans="1:8" x14ac:dyDescent="0.25">
      <c r="A2" t="s">
        <v>4</v>
      </c>
      <c r="B2" t="s">
        <v>38</v>
      </c>
      <c r="C2" s="13">
        <f>1/F2*100</f>
        <v>10.75268817204301</v>
      </c>
      <c r="D2" s="17">
        <f>G2/F2*C2</f>
        <v>0.2312406058503873</v>
      </c>
      <c r="E2" s="23" t="s">
        <v>171</v>
      </c>
      <c r="F2" s="12">
        <v>9.3000000000000007</v>
      </c>
      <c r="G2" s="12">
        <v>0.2</v>
      </c>
      <c r="H2" s="12" t="s">
        <v>72</v>
      </c>
    </row>
    <row r="3" spans="1:8" x14ac:dyDescent="0.25">
      <c r="A3" s="3" t="s">
        <v>5</v>
      </c>
      <c r="B3" s="4" t="s">
        <v>39</v>
      </c>
      <c r="C3" s="13">
        <f t="shared" ref="C3:C34" si="0">1/F3*100</f>
        <v>15.151515151515152</v>
      </c>
      <c r="D3" s="17">
        <f t="shared" ref="D3:D34" si="1">G3/F3*C3</f>
        <v>0.45913682277318651</v>
      </c>
      <c r="E3" s="23" t="s">
        <v>108</v>
      </c>
      <c r="F3" s="12">
        <v>6.6</v>
      </c>
      <c r="G3" s="12">
        <v>0.2</v>
      </c>
      <c r="H3" s="12" t="s">
        <v>73</v>
      </c>
    </row>
    <row r="4" spans="1:8" x14ac:dyDescent="0.25">
      <c r="A4" t="s">
        <v>6</v>
      </c>
      <c r="B4" t="s">
        <v>40</v>
      </c>
      <c r="C4" s="13">
        <f t="shared" si="0"/>
        <v>11.627906976744185</v>
      </c>
      <c r="D4" s="17">
        <f t="shared" si="1"/>
        <v>0.13520822065981614</v>
      </c>
      <c r="E4" s="23" t="s">
        <v>109</v>
      </c>
      <c r="F4" s="12">
        <v>8.6</v>
      </c>
      <c r="G4" s="12">
        <v>0.1</v>
      </c>
      <c r="H4" s="12" t="s">
        <v>74</v>
      </c>
    </row>
    <row r="5" spans="1:8" x14ac:dyDescent="0.25">
      <c r="A5" s="3" t="s">
        <v>7</v>
      </c>
      <c r="B5" s="4" t="s">
        <v>41</v>
      </c>
      <c r="C5" s="13">
        <f t="shared" si="0"/>
        <v>8.3333333333333321</v>
      </c>
      <c r="D5" s="17">
        <f t="shared" si="1"/>
        <v>0.41666666666666657</v>
      </c>
      <c r="E5" s="23" t="s">
        <v>110</v>
      </c>
      <c r="F5" s="12">
        <v>12</v>
      </c>
      <c r="G5" s="12">
        <v>0.6</v>
      </c>
      <c r="H5" s="12" t="s">
        <v>75</v>
      </c>
    </row>
    <row r="6" spans="1:8" x14ac:dyDescent="0.25">
      <c r="A6" t="s">
        <v>8</v>
      </c>
      <c r="B6" t="s">
        <v>42</v>
      </c>
      <c r="C6" s="13">
        <f t="shared" si="0"/>
        <v>7.6923076923076925</v>
      </c>
      <c r="D6" s="17">
        <f t="shared" si="1"/>
        <v>0.59171597633136097</v>
      </c>
      <c r="E6" s="23" t="s">
        <v>111</v>
      </c>
      <c r="F6" s="12">
        <v>13</v>
      </c>
      <c r="G6" s="12">
        <v>1</v>
      </c>
      <c r="H6" s="12" t="s">
        <v>76</v>
      </c>
    </row>
    <row r="7" spans="1:8" x14ac:dyDescent="0.25">
      <c r="A7" t="s">
        <v>9</v>
      </c>
      <c r="B7" t="s">
        <v>43</v>
      </c>
      <c r="C7" s="13">
        <f t="shared" si="0"/>
        <v>10.869565217391305</v>
      </c>
      <c r="D7" s="17">
        <f t="shared" si="1"/>
        <v>0.35444234404536862</v>
      </c>
      <c r="E7" s="23" t="s">
        <v>112</v>
      </c>
      <c r="F7" s="12">
        <v>9.1999999999999993</v>
      </c>
      <c r="G7" s="12">
        <v>0.3</v>
      </c>
      <c r="H7" s="12" t="s">
        <v>77</v>
      </c>
    </row>
    <row r="8" spans="1:8" x14ac:dyDescent="0.25">
      <c r="A8" s="3" t="s">
        <v>10</v>
      </c>
      <c r="B8" s="3" t="s">
        <v>44</v>
      </c>
      <c r="C8" s="13">
        <f t="shared" si="0"/>
        <v>8.3333333333333321</v>
      </c>
      <c r="D8" s="17">
        <f t="shared" si="1"/>
        <v>0.55555555555555547</v>
      </c>
      <c r="E8" s="23" t="s">
        <v>111</v>
      </c>
      <c r="F8" s="12">
        <v>12</v>
      </c>
      <c r="G8" s="12">
        <v>0.8</v>
      </c>
      <c r="H8" s="12" t="s">
        <v>78</v>
      </c>
    </row>
    <row r="9" spans="1:8" x14ac:dyDescent="0.25">
      <c r="A9" s="3" t="s">
        <v>11</v>
      </c>
      <c r="B9" s="3" t="s">
        <v>45</v>
      </c>
      <c r="C9" s="13">
        <f t="shared" si="0"/>
        <v>15.873015873015872</v>
      </c>
      <c r="D9" s="17">
        <f t="shared" si="1"/>
        <v>1.0078105316200554</v>
      </c>
      <c r="E9" s="23" t="s">
        <v>113</v>
      </c>
      <c r="F9" s="12">
        <v>6.3</v>
      </c>
      <c r="G9" s="12">
        <v>0.4</v>
      </c>
      <c r="H9" s="12" t="s">
        <v>79</v>
      </c>
    </row>
    <row r="10" spans="1:8" x14ac:dyDescent="0.25">
      <c r="A10" t="s">
        <v>12</v>
      </c>
      <c r="B10" t="s">
        <v>46</v>
      </c>
      <c r="C10" s="13">
        <f t="shared" si="0"/>
        <v>16.666666666666664</v>
      </c>
      <c r="D10" s="17">
        <f t="shared" si="1"/>
        <v>0.27777777777777773</v>
      </c>
      <c r="E10" s="23" t="s">
        <v>114</v>
      </c>
      <c r="F10" s="12">
        <v>6</v>
      </c>
      <c r="G10" s="12">
        <v>0.1</v>
      </c>
      <c r="H10" s="12" t="s">
        <v>80</v>
      </c>
    </row>
    <row r="11" spans="1:8" x14ac:dyDescent="0.25">
      <c r="A11" s="4" t="s">
        <v>13</v>
      </c>
      <c r="B11" s="4" t="s">
        <v>47</v>
      </c>
      <c r="C11" s="13">
        <f t="shared" si="0"/>
        <v>17.241379310344829</v>
      </c>
      <c r="D11" s="17">
        <f t="shared" si="1"/>
        <v>0.29726516052318669</v>
      </c>
      <c r="E11" s="23" t="s">
        <v>114</v>
      </c>
      <c r="F11" s="12">
        <v>5.8</v>
      </c>
      <c r="G11" s="12">
        <v>0.1</v>
      </c>
      <c r="H11" s="12" t="s">
        <v>81</v>
      </c>
    </row>
    <row r="12" spans="1:8" x14ac:dyDescent="0.25">
      <c r="A12" t="s">
        <v>14</v>
      </c>
      <c r="B12" t="s">
        <v>48</v>
      </c>
      <c r="C12" s="13">
        <f t="shared" si="0"/>
        <v>17.857142857142858</v>
      </c>
      <c r="D12" s="17">
        <f t="shared" si="1"/>
        <v>0.63775510204081642</v>
      </c>
      <c r="E12" s="23" t="s">
        <v>115</v>
      </c>
      <c r="F12" s="12">
        <v>5.6</v>
      </c>
      <c r="G12" s="12">
        <v>0.2</v>
      </c>
      <c r="H12" s="12" t="s">
        <v>82</v>
      </c>
    </row>
    <row r="13" spans="1:8" x14ac:dyDescent="0.25">
      <c r="A13" t="s">
        <v>15</v>
      </c>
      <c r="B13" t="s">
        <v>49</v>
      </c>
      <c r="C13" s="13">
        <f t="shared" si="0"/>
        <v>18.518518518518519</v>
      </c>
      <c r="D13" s="17">
        <f t="shared" si="1"/>
        <v>0.68587105624142664</v>
      </c>
      <c r="E13" s="23" t="s">
        <v>116</v>
      </c>
      <c r="F13" s="12">
        <v>5.4</v>
      </c>
      <c r="G13" s="12">
        <v>0.2</v>
      </c>
      <c r="H13" s="12" t="s">
        <v>83</v>
      </c>
    </row>
    <row r="14" spans="1:8" x14ac:dyDescent="0.25">
      <c r="A14" s="6" t="s">
        <v>16</v>
      </c>
      <c r="B14" s="6" t="s">
        <v>50</v>
      </c>
      <c r="C14" s="13">
        <f t="shared" si="0"/>
        <v>23.809523809523807</v>
      </c>
      <c r="D14" s="17">
        <f t="shared" si="1"/>
        <v>0.56689342403628107</v>
      </c>
      <c r="E14" s="23" t="s">
        <v>117</v>
      </c>
      <c r="F14" s="12">
        <v>4.2</v>
      </c>
      <c r="G14" s="12">
        <v>0.1</v>
      </c>
      <c r="H14" s="12" t="s">
        <v>84</v>
      </c>
    </row>
    <row r="15" spans="1:8" x14ac:dyDescent="0.25">
      <c r="A15" t="s">
        <v>17</v>
      </c>
      <c r="B15" t="s">
        <v>51</v>
      </c>
      <c r="C15" s="13">
        <f t="shared" si="0"/>
        <v>25</v>
      </c>
      <c r="D15" s="17">
        <f t="shared" si="1"/>
        <v>0.625</v>
      </c>
      <c r="E15" s="23" t="s">
        <v>118</v>
      </c>
      <c r="F15" s="12">
        <v>4</v>
      </c>
      <c r="G15" s="12">
        <v>0.1</v>
      </c>
      <c r="H15" s="12" t="s">
        <v>85</v>
      </c>
    </row>
    <row r="16" spans="1:8" x14ac:dyDescent="0.25">
      <c r="A16" t="s">
        <v>18</v>
      </c>
      <c r="B16" t="s">
        <v>52</v>
      </c>
      <c r="C16" s="13">
        <f t="shared" si="0"/>
        <v>45.454545454545453</v>
      </c>
      <c r="D16" s="17">
        <f t="shared" si="1"/>
        <v>2.0661157024793386</v>
      </c>
      <c r="E16" s="23" t="s">
        <v>119</v>
      </c>
      <c r="F16" s="12">
        <v>2.2000000000000002</v>
      </c>
      <c r="G16" s="12">
        <v>0.1</v>
      </c>
      <c r="H16" s="12" t="s">
        <v>86</v>
      </c>
    </row>
    <row r="17" spans="1:8" x14ac:dyDescent="0.25">
      <c r="A17" s="6" t="s">
        <v>19</v>
      </c>
      <c r="B17" s="6" t="s">
        <v>53</v>
      </c>
      <c r="C17" s="13">
        <f t="shared" si="0"/>
        <v>47.619047619047613</v>
      </c>
      <c r="D17" s="17">
        <f t="shared" si="1"/>
        <v>4.5351473922902485</v>
      </c>
      <c r="E17" s="23" t="s">
        <v>120</v>
      </c>
      <c r="F17" s="12">
        <v>2.1</v>
      </c>
      <c r="G17" s="12">
        <v>0.2</v>
      </c>
      <c r="H17" s="12" t="s">
        <v>87</v>
      </c>
    </row>
    <row r="18" spans="1:8" x14ac:dyDescent="0.25">
      <c r="A18" s="6" t="s">
        <v>20</v>
      </c>
      <c r="B18" s="6" t="s">
        <v>54</v>
      </c>
      <c r="C18" s="13">
        <f t="shared" si="0"/>
        <v>47.619047619047613</v>
      </c>
      <c r="D18" s="17">
        <f t="shared" si="1"/>
        <v>4.5351473922902485</v>
      </c>
      <c r="E18" s="23" t="s">
        <v>120</v>
      </c>
      <c r="F18" s="12">
        <v>2.1</v>
      </c>
      <c r="G18" s="12">
        <v>0.2</v>
      </c>
      <c r="H18" s="12" t="s">
        <v>88</v>
      </c>
    </row>
    <row r="19" spans="1:8" x14ac:dyDescent="0.25">
      <c r="A19" t="s">
        <v>21</v>
      </c>
      <c r="B19" t="s">
        <v>55</v>
      </c>
      <c r="C19" s="13">
        <f t="shared" si="0"/>
        <v>50</v>
      </c>
      <c r="D19" s="17">
        <f t="shared" si="1"/>
        <v>2.5</v>
      </c>
      <c r="E19" s="23" t="s">
        <v>121</v>
      </c>
      <c r="F19" s="12">
        <v>2</v>
      </c>
      <c r="G19" s="12">
        <v>0.1</v>
      </c>
      <c r="H19" s="12" t="s">
        <v>89</v>
      </c>
    </row>
    <row r="20" spans="1:8" x14ac:dyDescent="0.25">
      <c r="A20" t="s">
        <v>22</v>
      </c>
      <c r="B20" t="s">
        <v>56</v>
      </c>
      <c r="C20" s="13">
        <f t="shared" si="0"/>
        <v>66.666666666666657</v>
      </c>
      <c r="D20" s="17">
        <f t="shared" si="1"/>
        <v>4.4444444444444438</v>
      </c>
      <c r="E20" s="23" t="s">
        <v>122</v>
      </c>
      <c r="F20" s="12">
        <v>1.5</v>
      </c>
      <c r="G20" s="12">
        <v>0.1</v>
      </c>
      <c r="H20" s="12" t="s">
        <v>90</v>
      </c>
    </row>
    <row r="21" spans="1:8" x14ac:dyDescent="0.25">
      <c r="A21" s="4" t="s">
        <v>23</v>
      </c>
      <c r="B21" s="6" t="s">
        <v>57</v>
      </c>
      <c r="C21" s="13">
        <f t="shared" si="0"/>
        <v>30.303030303030305</v>
      </c>
      <c r="D21" s="17">
        <f t="shared" si="1"/>
        <v>1.8365472910927461</v>
      </c>
      <c r="E21" s="23" t="s">
        <v>123</v>
      </c>
      <c r="F21" s="12">
        <v>3.3</v>
      </c>
      <c r="G21" s="12">
        <v>0.2</v>
      </c>
      <c r="H21" s="12" t="s">
        <v>91</v>
      </c>
    </row>
    <row r="22" spans="1:8" x14ac:dyDescent="0.25">
      <c r="A22" s="6" t="s">
        <v>24</v>
      </c>
      <c r="B22" s="6" t="s">
        <v>58</v>
      </c>
      <c r="C22" s="13">
        <f t="shared" si="0"/>
        <v>76.92307692307692</v>
      </c>
      <c r="D22" s="17">
        <f t="shared" si="1"/>
        <v>5.9171597633136095</v>
      </c>
      <c r="E22" s="23" t="s">
        <v>124</v>
      </c>
      <c r="F22" s="12">
        <v>1.3</v>
      </c>
      <c r="G22" s="12">
        <v>0.1</v>
      </c>
      <c r="H22" s="12" t="s">
        <v>92</v>
      </c>
    </row>
    <row r="23" spans="1:8" x14ac:dyDescent="0.25">
      <c r="A23" s="6" t="s">
        <v>25</v>
      </c>
      <c r="B23" s="6" t="s">
        <v>59</v>
      </c>
      <c r="C23" s="13">
        <f t="shared" si="0"/>
        <v>100</v>
      </c>
      <c r="D23" s="17">
        <f t="shared" si="1"/>
        <v>10</v>
      </c>
      <c r="E23" s="23" t="s">
        <v>125</v>
      </c>
      <c r="F23" s="12">
        <v>1</v>
      </c>
      <c r="G23" s="12">
        <v>0.1</v>
      </c>
      <c r="H23" s="12" t="s">
        <v>93</v>
      </c>
    </row>
    <row r="24" spans="1:8" x14ac:dyDescent="0.25">
      <c r="A24" s="6" t="s">
        <v>26</v>
      </c>
      <c r="B24" s="6" t="s">
        <v>60</v>
      </c>
      <c r="C24" s="13">
        <f t="shared" si="0"/>
        <v>500</v>
      </c>
      <c r="D24" s="13">
        <f t="shared" si="1"/>
        <v>250</v>
      </c>
      <c r="E24" s="23" t="s">
        <v>126</v>
      </c>
      <c r="F24" s="12">
        <v>0.2</v>
      </c>
      <c r="G24" s="12">
        <v>0.1</v>
      </c>
      <c r="H24" s="12" t="s">
        <v>94</v>
      </c>
    </row>
    <row r="25" spans="1:8" x14ac:dyDescent="0.25">
      <c r="A25" s="6" t="s">
        <v>27</v>
      </c>
      <c r="B25" s="6" t="s">
        <v>61</v>
      </c>
      <c r="C25" s="13" t="s">
        <v>3</v>
      </c>
      <c r="D25" s="13" t="s">
        <v>3</v>
      </c>
      <c r="E25" s="23" t="s">
        <v>127</v>
      </c>
      <c r="F25" s="12" t="s">
        <v>3</v>
      </c>
      <c r="G25" s="12">
        <v>0</v>
      </c>
      <c r="H25" s="12" t="s">
        <v>95</v>
      </c>
    </row>
    <row r="26" spans="1:8" x14ac:dyDescent="0.25">
      <c r="A26" s="6" t="s">
        <v>28</v>
      </c>
      <c r="B26" s="6" t="s">
        <v>62</v>
      </c>
      <c r="C26" s="13" t="s">
        <v>3</v>
      </c>
      <c r="D26" s="13" t="s">
        <v>3</v>
      </c>
      <c r="E26" s="23" t="s">
        <v>127</v>
      </c>
      <c r="F26" s="12" t="s">
        <v>3</v>
      </c>
      <c r="G26" s="12">
        <v>0</v>
      </c>
      <c r="H26" s="12" t="s">
        <v>96</v>
      </c>
    </row>
    <row r="27" spans="1:8" x14ac:dyDescent="0.25">
      <c r="A27" s="6" t="s">
        <v>29</v>
      </c>
      <c r="B27" s="6" t="s">
        <v>63</v>
      </c>
      <c r="C27" s="13" t="s">
        <v>3</v>
      </c>
      <c r="D27" s="13" t="s">
        <v>3</v>
      </c>
      <c r="E27" s="23" t="s">
        <v>127</v>
      </c>
      <c r="F27" s="12" t="s">
        <v>3</v>
      </c>
      <c r="G27" s="12">
        <v>0</v>
      </c>
      <c r="H27" s="12" t="s">
        <v>97</v>
      </c>
    </row>
    <row r="28" spans="1:8" x14ac:dyDescent="0.25">
      <c r="A28" s="6" t="s">
        <v>30</v>
      </c>
      <c r="B28" s="6" t="s">
        <v>64</v>
      </c>
      <c r="C28" s="13" t="s">
        <v>3</v>
      </c>
      <c r="D28" s="13" t="s">
        <v>3</v>
      </c>
      <c r="E28" s="23" t="s">
        <v>127</v>
      </c>
      <c r="F28" s="12" t="s">
        <v>3</v>
      </c>
      <c r="G28" s="12">
        <v>0</v>
      </c>
      <c r="H28" s="12" t="s">
        <v>98</v>
      </c>
    </row>
    <row r="29" spans="1:8" x14ac:dyDescent="0.25">
      <c r="A29" s="6" t="s">
        <v>31</v>
      </c>
      <c r="B29" s="6" t="s">
        <v>65</v>
      </c>
      <c r="C29" s="13" t="s">
        <v>3</v>
      </c>
      <c r="D29" s="13" t="s">
        <v>3</v>
      </c>
      <c r="E29" s="23" t="s">
        <v>127</v>
      </c>
      <c r="F29" s="12" t="s">
        <v>3</v>
      </c>
      <c r="G29" s="12">
        <v>0</v>
      </c>
      <c r="H29" s="12" t="s">
        <v>99</v>
      </c>
    </row>
    <row r="30" spans="1:8" x14ac:dyDescent="0.25">
      <c r="A30" s="6" t="s">
        <v>32</v>
      </c>
      <c r="B30" s="6" t="s">
        <v>66</v>
      </c>
      <c r="C30" s="13" t="s">
        <v>3</v>
      </c>
      <c r="D30" s="13" t="s">
        <v>3</v>
      </c>
      <c r="E30" s="23" t="s">
        <v>127</v>
      </c>
      <c r="F30" s="12" t="s">
        <v>3</v>
      </c>
      <c r="G30" s="12">
        <v>0</v>
      </c>
      <c r="H30" s="12" t="s">
        <v>100</v>
      </c>
    </row>
    <row r="31" spans="1:8" x14ac:dyDescent="0.25">
      <c r="A31" t="s">
        <v>33</v>
      </c>
      <c r="B31" t="s">
        <v>67</v>
      </c>
      <c r="C31" s="13">
        <f t="shared" si="0"/>
        <v>500</v>
      </c>
      <c r="D31" s="13">
        <f t="shared" si="1"/>
        <v>250</v>
      </c>
      <c r="E31" s="23" t="s">
        <v>126</v>
      </c>
      <c r="F31" s="12">
        <v>0.2</v>
      </c>
      <c r="G31" s="12">
        <v>0.1</v>
      </c>
      <c r="H31" s="12" t="s">
        <v>101</v>
      </c>
    </row>
    <row r="32" spans="1:8" x14ac:dyDescent="0.25">
      <c r="A32" s="6" t="s">
        <v>34</v>
      </c>
      <c r="B32" s="6" t="s">
        <v>68</v>
      </c>
      <c r="C32" s="13">
        <f t="shared" si="0"/>
        <v>11.904761904761903</v>
      </c>
      <c r="D32" s="17">
        <f t="shared" si="1"/>
        <v>0.28344671201814053</v>
      </c>
      <c r="E32" s="23" t="s">
        <v>128</v>
      </c>
      <c r="F32" s="12">
        <v>8.4</v>
      </c>
      <c r="G32" s="12">
        <v>0.2</v>
      </c>
      <c r="H32" s="12" t="s">
        <v>102</v>
      </c>
    </row>
    <row r="33" spans="1:8" x14ac:dyDescent="0.25">
      <c r="A33" s="6" t="s">
        <v>35</v>
      </c>
      <c r="B33" s="6" t="s">
        <v>69</v>
      </c>
      <c r="C33" s="13">
        <f t="shared" si="0"/>
        <v>11.111111111111111</v>
      </c>
      <c r="D33" s="17">
        <f t="shared" si="1"/>
        <v>0.7407407407407407</v>
      </c>
      <c r="E33" s="23" t="s">
        <v>129</v>
      </c>
      <c r="F33" s="12">
        <v>9</v>
      </c>
      <c r="G33" s="12">
        <v>0.6</v>
      </c>
      <c r="H33" s="12" t="s">
        <v>103</v>
      </c>
    </row>
    <row r="34" spans="1:8" x14ac:dyDescent="0.25">
      <c r="A34" s="6" t="s">
        <v>36</v>
      </c>
      <c r="B34" s="6" t="s">
        <v>70</v>
      </c>
      <c r="C34" s="13">
        <f t="shared" si="0"/>
        <v>76.92307692307692</v>
      </c>
      <c r="D34" s="17">
        <f t="shared" si="1"/>
        <v>5.9171597633136095</v>
      </c>
      <c r="E34" s="23" t="s">
        <v>124</v>
      </c>
      <c r="F34" s="12">
        <v>1.3</v>
      </c>
      <c r="G34" s="12">
        <v>0.1</v>
      </c>
      <c r="H34" s="12" t="s">
        <v>104</v>
      </c>
    </row>
    <row r="35" spans="1:8" x14ac:dyDescent="0.25">
      <c r="A35" s="6"/>
      <c r="B35" s="6"/>
      <c r="C35" s="3"/>
      <c r="D35" s="11"/>
      <c r="E35" s="21"/>
      <c r="F35" s="3"/>
      <c r="G35" s="3"/>
      <c r="H3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K23" sqref="K23"/>
    </sheetView>
  </sheetViews>
  <sheetFormatPr defaultRowHeight="15" x14ac:dyDescent="0.25"/>
  <cols>
    <col min="2" max="2" width="99.85546875" customWidth="1"/>
    <col min="3" max="3" width="14.140625" style="1" customWidth="1"/>
    <col min="4" max="4" width="14.140625" style="11" customWidth="1"/>
    <col min="5" max="5" width="14.140625" style="21" customWidth="1"/>
    <col min="6" max="7" width="9.140625" style="1"/>
    <col min="8" max="8" width="12" style="8" customWidth="1"/>
  </cols>
  <sheetData>
    <row r="1" spans="1:8" x14ac:dyDescent="0.25">
      <c r="A1" t="s">
        <v>0</v>
      </c>
      <c r="B1" t="s">
        <v>1</v>
      </c>
      <c r="C1" s="2" t="s">
        <v>105</v>
      </c>
      <c r="D1" s="8" t="s">
        <v>107</v>
      </c>
      <c r="E1" s="18" t="s">
        <v>105</v>
      </c>
      <c r="F1" s="2" t="s">
        <v>2</v>
      </c>
      <c r="G1" s="2" t="s">
        <v>37</v>
      </c>
      <c r="H1" s="8" t="s">
        <v>71</v>
      </c>
    </row>
    <row r="2" spans="1:8" x14ac:dyDescent="0.25">
      <c r="A2" t="s">
        <v>4</v>
      </c>
      <c r="B2" t="s">
        <v>38</v>
      </c>
      <c r="C2" s="14">
        <f>1/F2/10</f>
        <v>0.11111111111111112</v>
      </c>
      <c r="D2" s="14">
        <f>G2/F2*C2</f>
        <v>1.234567901234568E-2</v>
      </c>
      <c r="E2" s="22" t="s">
        <v>170</v>
      </c>
      <c r="F2" s="12">
        <v>0.9</v>
      </c>
      <c r="G2" s="12">
        <v>0.1</v>
      </c>
      <c r="H2" s="8" t="s">
        <v>72</v>
      </c>
    </row>
    <row r="3" spans="1:8" x14ac:dyDescent="0.25">
      <c r="A3" s="11" t="s">
        <v>5</v>
      </c>
      <c r="B3" s="9" t="s">
        <v>39</v>
      </c>
      <c r="C3" s="14">
        <f>1/F3/10</f>
        <v>0.25</v>
      </c>
      <c r="D3" s="14">
        <f t="shared" ref="D3:D34" si="0">G3/F3*C3</f>
        <v>6.25E-2</v>
      </c>
      <c r="E3" s="22" t="s">
        <v>130</v>
      </c>
      <c r="F3" s="12">
        <v>0.4</v>
      </c>
      <c r="G3" s="12">
        <v>0.1</v>
      </c>
      <c r="H3" s="8" t="s">
        <v>73</v>
      </c>
    </row>
    <row r="4" spans="1:8" x14ac:dyDescent="0.25">
      <c r="A4" t="s">
        <v>6</v>
      </c>
      <c r="B4" t="s">
        <v>40</v>
      </c>
      <c r="C4" s="14">
        <f>1/F4/10</f>
        <v>0.125</v>
      </c>
      <c r="D4" s="14">
        <f t="shared" si="0"/>
        <v>3.125E-2</v>
      </c>
      <c r="E4" s="22" t="s">
        <v>131</v>
      </c>
      <c r="F4" s="12">
        <v>0.8</v>
      </c>
      <c r="G4" s="12">
        <v>0.2</v>
      </c>
      <c r="H4" s="8" t="s">
        <v>74</v>
      </c>
    </row>
    <row r="5" spans="1:8" x14ac:dyDescent="0.25">
      <c r="A5" s="11" t="s">
        <v>7</v>
      </c>
      <c r="B5" s="9" t="s">
        <v>41</v>
      </c>
      <c r="C5" s="14">
        <f>1/F5/10</f>
        <v>0.1</v>
      </c>
      <c r="D5" s="14">
        <f t="shared" si="0"/>
        <v>1.0000000000000002E-2</v>
      </c>
      <c r="E5" s="22" t="s">
        <v>132</v>
      </c>
      <c r="F5" s="12">
        <v>1</v>
      </c>
      <c r="G5" s="12">
        <v>0.1</v>
      </c>
      <c r="H5" s="8" t="s">
        <v>75</v>
      </c>
    </row>
    <row r="6" spans="1:8" x14ac:dyDescent="0.25">
      <c r="A6" t="s">
        <v>8</v>
      </c>
      <c r="B6" t="s">
        <v>42</v>
      </c>
      <c r="C6" s="14">
        <f>1/F6/10</f>
        <v>0.14285714285714285</v>
      </c>
      <c r="D6" s="14">
        <f t="shared" si="0"/>
        <v>2.0408163265306124E-2</v>
      </c>
      <c r="E6" s="22" t="s">
        <v>133</v>
      </c>
      <c r="F6" s="12">
        <v>0.7</v>
      </c>
      <c r="G6" s="12">
        <v>0.1</v>
      </c>
      <c r="H6" s="8" t="s">
        <v>76</v>
      </c>
    </row>
    <row r="7" spans="1:8" x14ac:dyDescent="0.25">
      <c r="A7" t="s">
        <v>9</v>
      </c>
      <c r="B7" t="s">
        <v>43</v>
      </c>
      <c r="C7" s="14">
        <f>1/F7/10</f>
        <v>0.2</v>
      </c>
      <c r="D7" s="14">
        <f t="shared" si="0"/>
        <v>8.0000000000000016E-2</v>
      </c>
      <c r="E7" s="22" t="s">
        <v>134</v>
      </c>
      <c r="F7" s="12">
        <v>0.5</v>
      </c>
      <c r="G7" s="12">
        <v>0.2</v>
      </c>
      <c r="H7" s="8" t="s">
        <v>77</v>
      </c>
    </row>
    <row r="8" spans="1:8" x14ac:dyDescent="0.25">
      <c r="A8" s="11" t="s">
        <v>10</v>
      </c>
      <c r="B8" s="11" t="s">
        <v>44</v>
      </c>
      <c r="C8" s="14">
        <f>1/F8/10</f>
        <v>0.25</v>
      </c>
      <c r="D8" s="14">
        <f t="shared" si="0"/>
        <v>6.25E-2</v>
      </c>
      <c r="E8" s="22" t="s">
        <v>130</v>
      </c>
      <c r="F8" s="12">
        <v>0.4</v>
      </c>
      <c r="G8" s="12">
        <v>0.1</v>
      </c>
      <c r="H8" s="8" t="s">
        <v>78</v>
      </c>
    </row>
    <row r="9" spans="1:8" x14ac:dyDescent="0.25">
      <c r="A9" s="11" t="s">
        <v>11</v>
      </c>
      <c r="B9" s="11" t="s">
        <v>45</v>
      </c>
      <c r="C9" s="14">
        <f>1/F9/10</f>
        <v>0.25</v>
      </c>
      <c r="D9" s="14">
        <f t="shared" si="0"/>
        <v>6.25E-2</v>
      </c>
      <c r="E9" s="22" t="s">
        <v>130</v>
      </c>
      <c r="F9" s="12">
        <v>0.4</v>
      </c>
      <c r="G9" s="12">
        <v>0.1</v>
      </c>
      <c r="H9" s="8" t="s">
        <v>79</v>
      </c>
    </row>
    <row r="10" spans="1:8" x14ac:dyDescent="0.25">
      <c r="A10" t="s">
        <v>12</v>
      </c>
      <c r="B10" t="s">
        <v>46</v>
      </c>
      <c r="C10" s="14">
        <f>1/F10/10</f>
        <v>8.3333333333333343E-2</v>
      </c>
      <c r="D10" s="14">
        <f t="shared" si="0"/>
        <v>6.9444444444444458E-3</v>
      </c>
      <c r="E10" s="22" t="s">
        <v>135</v>
      </c>
      <c r="F10" s="12">
        <v>1.2</v>
      </c>
      <c r="G10" s="12">
        <v>0.1</v>
      </c>
      <c r="H10" s="8" t="s">
        <v>80</v>
      </c>
    </row>
    <row r="11" spans="1:8" x14ac:dyDescent="0.25">
      <c r="A11" s="9" t="s">
        <v>13</v>
      </c>
      <c r="B11" s="9" t="s">
        <v>47</v>
      </c>
      <c r="C11" s="14">
        <f>1/F11/10</f>
        <v>8.3333333333333343E-2</v>
      </c>
      <c r="D11" s="14">
        <f t="shared" si="0"/>
        <v>1.3888888888888892E-2</v>
      </c>
      <c r="E11" s="22" t="s">
        <v>135</v>
      </c>
      <c r="F11" s="12">
        <v>1.2</v>
      </c>
      <c r="G11" s="12">
        <v>0.2</v>
      </c>
      <c r="H11" s="8" t="s">
        <v>81</v>
      </c>
    </row>
    <row r="12" spans="1:8" x14ac:dyDescent="0.25">
      <c r="A12" t="s">
        <v>14</v>
      </c>
      <c r="B12" t="s">
        <v>48</v>
      </c>
      <c r="C12" s="14">
        <f>1/F12/10</f>
        <v>0.125</v>
      </c>
      <c r="D12" s="14">
        <f t="shared" si="0"/>
        <v>1.5625E-2</v>
      </c>
      <c r="E12" s="22" t="s">
        <v>136</v>
      </c>
      <c r="F12" s="12">
        <v>0.8</v>
      </c>
      <c r="G12" s="12">
        <v>0.1</v>
      </c>
      <c r="H12" s="8" t="s">
        <v>82</v>
      </c>
    </row>
    <row r="13" spans="1:8" x14ac:dyDescent="0.25">
      <c r="A13" t="s">
        <v>15</v>
      </c>
      <c r="B13" t="s">
        <v>49</v>
      </c>
      <c r="C13" s="14">
        <f>1/F13/10</f>
        <v>0.2</v>
      </c>
      <c r="D13" s="14">
        <f t="shared" si="0"/>
        <v>4.0000000000000008E-2</v>
      </c>
      <c r="E13" s="22" t="s">
        <v>137</v>
      </c>
      <c r="F13" s="12">
        <v>0.5</v>
      </c>
      <c r="G13" s="12">
        <v>0.1</v>
      </c>
      <c r="H13" s="8" t="s">
        <v>83</v>
      </c>
    </row>
    <row r="14" spans="1:8" x14ac:dyDescent="0.25">
      <c r="A14" s="10" t="s">
        <v>16</v>
      </c>
      <c r="B14" s="10" t="s">
        <v>50</v>
      </c>
      <c r="C14" s="14">
        <f>1/F14/10</f>
        <v>0.25</v>
      </c>
      <c r="D14" s="14">
        <f t="shared" si="0"/>
        <v>6.25E-2</v>
      </c>
      <c r="E14" s="22" t="s">
        <v>130</v>
      </c>
      <c r="F14" s="12">
        <v>0.4</v>
      </c>
      <c r="G14" s="12">
        <v>0.1</v>
      </c>
      <c r="H14" s="8" t="s">
        <v>84</v>
      </c>
    </row>
    <row r="15" spans="1:8" x14ac:dyDescent="0.25">
      <c r="A15" t="s">
        <v>17</v>
      </c>
      <c r="B15" t="s">
        <v>51</v>
      </c>
      <c r="C15" s="14">
        <f>1/F15/10</f>
        <v>0.16666666666666669</v>
      </c>
      <c r="D15" s="14">
        <f t="shared" si="0"/>
        <v>2.7777777777777783E-2</v>
      </c>
      <c r="E15" s="22" t="s">
        <v>138</v>
      </c>
      <c r="F15" s="12">
        <v>0.6</v>
      </c>
      <c r="G15" s="12">
        <v>0.1</v>
      </c>
      <c r="H15" s="8" t="s">
        <v>85</v>
      </c>
    </row>
    <row r="16" spans="1:8" x14ac:dyDescent="0.25">
      <c r="A16" t="s">
        <v>18</v>
      </c>
      <c r="B16" t="s">
        <v>52</v>
      </c>
      <c r="C16" s="14">
        <f>1/F16/10</f>
        <v>0.14285714285714285</v>
      </c>
      <c r="D16" s="14">
        <f t="shared" si="0"/>
        <v>2.0408163265306124E-2</v>
      </c>
      <c r="E16" s="22" t="s">
        <v>133</v>
      </c>
      <c r="F16" s="12">
        <v>0.7</v>
      </c>
      <c r="G16" s="12">
        <v>0.1</v>
      </c>
      <c r="H16" s="8" t="s">
        <v>86</v>
      </c>
    </row>
    <row r="17" spans="1:8" x14ac:dyDescent="0.25">
      <c r="A17" s="10" t="s">
        <v>19</v>
      </c>
      <c r="B17" s="10" t="s">
        <v>53</v>
      </c>
      <c r="C17" s="14">
        <f>1/F17/10</f>
        <v>0.33333333333333337</v>
      </c>
      <c r="D17" s="14">
        <f t="shared" si="0"/>
        <v>0.11111111111111113</v>
      </c>
      <c r="E17" s="22" t="s">
        <v>139</v>
      </c>
      <c r="F17" s="12">
        <v>0.3</v>
      </c>
      <c r="G17" s="12">
        <v>0.1</v>
      </c>
      <c r="H17" s="8" t="s">
        <v>87</v>
      </c>
    </row>
    <row r="18" spans="1:8" x14ac:dyDescent="0.25">
      <c r="A18" s="10" t="s">
        <v>20</v>
      </c>
      <c r="B18" s="10" t="s">
        <v>54</v>
      </c>
      <c r="C18" s="14">
        <f>1/F18/10</f>
        <v>0.125</v>
      </c>
      <c r="D18" s="14">
        <f t="shared" si="0"/>
        <v>3.125E-2</v>
      </c>
      <c r="E18" s="22" t="s">
        <v>131</v>
      </c>
      <c r="F18" s="12">
        <v>0.8</v>
      </c>
      <c r="G18" s="12">
        <v>0.2</v>
      </c>
      <c r="H18" s="8" t="s">
        <v>88</v>
      </c>
    </row>
    <row r="19" spans="1:8" x14ac:dyDescent="0.25">
      <c r="A19" t="s">
        <v>21</v>
      </c>
      <c r="B19" t="s">
        <v>55</v>
      </c>
      <c r="C19" s="14">
        <f>1/F19/10</f>
        <v>0.125</v>
      </c>
      <c r="D19" s="14">
        <f t="shared" si="0"/>
        <v>1.5625E-2</v>
      </c>
      <c r="E19" s="22" t="s">
        <v>136</v>
      </c>
      <c r="F19" s="12">
        <v>0.8</v>
      </c>
      <c r="G19" s="12">
        <v>0.1</v>
      </c>
      <c r="H19" s="8" t="s">
        <v>89</v>
      </c>
    </row>
    <row r="20" spans="1:8" x14ac:dyDescent="0.25">
      <c r="A20" t="s">
        <v>22</v>
      </c>
      <c r="B20" t="s">
        <v>56</v>
      </c>
      <c r="C20" s="14">
        <f>1/F20/10</f>
        <v>7.1428571428571425E-2</v>
      </c>
      <c r="D20" s="14">
        <f t="shared" si="0"/>
        <v>1.0204081632653062E-2</v>
      </c>
      <c r="E20" s="22" t="s">
        <v>140</v>
      </c>
      <c r="F20" s="12">
        <v>1.4</v>
      </c>
      <c r="G20" s="12">
        <v>0.2</v>
      </c>
      <c r="H20" s="8" t="s">
        <v>90</v>
      </c>
    </row>
    <row r="21" spans="1:8" x14ac:dyDescent="0.25">
      <c r="A21" s="9" t="s">
        <v>23</v>
      </c>
      <c r="B21" s="10" t="s">
        <v>57</v>
      </c>
      <c r="C21" s="14">
        <f>1/F21/10</f>
        <v>0.16666666666666669</v>
      </c>
      <c r="D21" s="14">
        <f t="shared" si="0"/>
        <v>2.7777777777777783E-2</v>
      </c>
      <c r="E21" s="22" t="s">
        <v>138</v>
      </c>
      <c r="F21" s="12">
        <v>0.6</v>
      </c>
      <c r="G21" s="12">
        <v>0.1</v>
      </c>
      <c r="H21" s="8" t="s">
        <v>91</v>
      </c>
    </row>
    <row r="22" spans="1:8" x14ac:dyDescent="0.25">
      <c r="A22" s="10" t="s">
        <v>24</v>
      </c>
      <c r="B22" s="10" t="s">
        <v>58</v>
      </c>
      <c r="C22" s="14">
        <f>1/F22/10</f>
        <v>0.33333333333333337</v>
      </c>
      <c r="D22" s="14">
        <f t="shared" si="0"/>
        <v>0.11111111111111113</v>
      </c>
      <c r="E22" s="22" t="s">
        <v>139</v>
      </c>
      <c r="F22" s="12">
        <v>0.3</v>
      </c>
      <c r="G22" s="12">
        <v>0.1</v>
      </c>
      <c r="H22" s="8" t="s">
        <v>92</v>
      </c>
    </row>
    <row r="23" spans="1:8" x14ac:dyDescent="0.25">
      <c r="A23" s="10" t="s">
        <v>25</v>
      </c>
      <c r="B23" s="10" t="s">
        <v>59</v>
      </c>
      <c r="C23" s="14">
        <f>1/F23/10</f>
        <v>0.1</v>
      </c>
      <c r="D23" s="14">
        <f t="shared" si="0"/>
        <v>1.0000000000000002E-2</v>
      </c>
      <c r="E23" s="22" t="s">
        <v>132</v>
      </c>
      <c r="F23" s="12">
        <v>1</v>
      </c>
      <c r="G23" s="12">
        <v>0.1</v>
      </c>
      <c r="H23" s="8" t="s">
        <v>93</v>
      </c>
    </row>
    <row r="24" spans="1:8" x14ac:dyDescent="0.25">
      <c r="A24" s="10" t="s">
        <v>26</v>
      </c>
      <c r="B24" s="10" t="s">
        <v>60</v>
      </c>
      <c r="C24" s="14">
        <f>1/F24/10</f>
        <v>0.5</v>
      </c>
      <c r="D24" s="14">
        <f t="shared" si="0"/>
        <v>0.25</v>
      </c>
      <c r="E24" s="22" t="s">
        <v>141</v>
      </c>
      <c r="F24" s="12">
        <v>0.2</v>
      </c>
      <c r="G24" s="12">
        <v>0.1</v>
      </c>
      <c r="H24" s="8" t="s">
        <v>94</v>
      </c>
    </row>
    <row r="25" spans="1:8" x14ac:dyDescent="0.25">
      <c r="A25" s="10" t="s">
        <v>27</v>
      </c>
      <c r="B25" s="10" t="s">
        <v>61</v>
      </c>
      <c r="C25" s="14">
        <f>1/F25/10</f>
        <v>1</v>
      </c>
      <c r="D25" s="14">
        <f t="shared" si="0"/>
        <v>9.9999999999999992E-2</v>
      </c>
      <c r="E25" s="22" t="s">
        <v>142</v>
      </c>
      <c r="F25" s="12">
        <v>0.1</v>
      </c>
      <c r="G25" s="12">
        <v>0.01</v>
      </c>
      <c r="H25" s="8" t="s">
        <v>95</v>
      </c>
    </row>
    <row r="26" spans="1:8" x14ac:dyDescent="0.25">
      <c r="A26" s="10" t="s">
        <v>28</v>
      </c>
      <c r="B26" s="10" t="s">
        <v>62</v>
      </c>
      <c r="C26" s="14">
        <f>1/F26/10</f>
        <v>0.25</v>
      </c>
      <c r="D26" s="14">
        <f t="shared" si="0"/>
        <v>6.25E-2</v>
      </c>
      <c r="E26" s="22" t="s">
        <v>130</v>
      </c>
      <c r="F26" s="12">
        <v>0.4</v>
      </c>
      <c r="G26" s="12">
        <v>0.1</v>
      </c>
      <c r="H26" s="8" t="s">
        <v>96</v>
      </c>
    </row>
    <row r="27" spans="1:8" x14ac:dyDescent="0.25">
      <c r="A27" s="10" t="s">
        <v>29</v>
      </c>
      <c r="B27" s="10" t="s">
        <v>63</v>
      </c>
      <c r="C27" s="14">
        <f>1/F27/10</f>
        <v>1</v>
      </c>
      <c r="D27" s="14">
        <f t="shared" si="0"/>
        <v>0.19999999999999998</v>
      </c>
      <c r="E27" s="22" t="s">
        <v>143</v>
      </c>
      <c r="F27" s="12">
        <v>0.1</v>
      </c>
      <c r="G27" s="12">
        <v>0.02</v>
      </c>
      <c r="H27" s="8" t="s">
        <v>97</v>
      </c>
    </row>
    <row r="28" spans="1:8" x14ac:dyDescent="0.25">
      <c r="A28" s="10" t="s">
        <v>30</v>
      </c>
      <c r="B28" s="10" t="s">
        <v>64</v>
      </c>
      <c r="C28" s="12" t="s">
        <v>3</v>
      </c>
      <c r="D28" s="12" t="s">
        <v>3</v>
      </c>
      <c r="E28" s="22" t="s">
        <v>127</v>
      </c>
      <c r="F28" s="12" t="s">
        <v>3</v>
      </c>
      <c r="G28" s="12">
        <v>0</v>
      </c>
      <c r="H28" s="8" t="s">
        <v>98</v>
      </c>
    </row>
    <row r="29" spans="1:8" x14ac:dyDescent="0.25">
      <c r="A29" s="10" t="s">
        <v>31</v>
      </c>
      <c r="B29" s="10" t="s">
        <v>65</v>
      </c>
      <c r="C29" s="14">
        <f>1/F29/10</f>
        <v>0.5</v>
      </c>
      <c r="D29" s="14">
        <f t="shared" si="0"/>
        <v>0.25</v>
      </c>
      <c r="E29" s="22" t="s">
        <v>141</v>
      </c>
      <c r="F29" s="12">
        <v>0.2</v>
      </c>
      <c r="G29" s="12">
        <v>0.1</v>
      </c>
      <c r="H29" s="8" t="s">
        <v>99</v>
      </c>
    </row>
    <row r="30" spans="1:8" x14ac:dyDescent="0.25">
      <c r="A30" s="10" t="s">
        <v>32</v>
      </c>
      <c r="B30" s="10" t="s">
        <v>66</v>
      </c>
      <c r="C30" s="14">
        <f>1/F30/10</f>
        <v>0.5</v>
      </c>
      <c r="D30" s="14">
        <f t="shared" si="0"/>
        <v>0.25</v>
      </c>
      <c r="E30" s="22" t="s">
        <v>141</v>
      </c>
      <c r="F30" s="12">
        <v>0.2</v>
      </c>
      <c r="G30" s="12">
        <v>0.1</v>
      </c>
      <c r="H30" s="8" t="s">
        <v>100</v>
      </c>
    </row>
    <row r="31" spans="1:8" x14ac:dyDescent="0.25">
      <c r="A31" t="s">
        <v>33</v>
      </c>
      <c r="B31" t="s">
        <v>67</v>
      </c>
      <c r="C31" s="14">
        <f>1/F31/10</f>
        <v>0.33333333333333337</v>
      </c>
      <c r="D31" s="14">
        <f t="shared" si="0"/>
        <v>0.11111111111111113</v>
      </c>
      <c r="E31" s="22" t="s">
        <v>139</v>
      </c>
      <c r="F31" s="12">
        <v>0.3</v>
      </c>
      <c r="G31" s="12">
        <v>0.1</v>
      </c>
      <c r="H31" s="8" t="s">
        <v>101</v>
      </c>
    </row>
    <row r="32" spans="1:8" x14ac:dyDescent="0.25">
      <c r="A32" s="10" t="s">
        <v>34</v>
      </c>
      <c r="B32" s="10" t="s">
        <v>68</v>
      </c>
      <c r="C32" s="14">
        <f>1/F32/10</f>
        <v>0.2</v>
      </c>
      <c r="D32" s="14">
        <f t="shared" si="0"/>
        <v>4.0000000000000008E-2</v>
      </c>
      <c r="E32" s="22" t="s">
        <v>137</v>
      </c>
      <c r="F32" s="12">
        <v>0.5</v>
      </c>
      <c r="G32" s="12">
        <v>0.1</v>
      </c>
      <c r="H32" s="8" t="s">
        <v>102</v>
      </c>
    </row>
    <row r="33" spans="1:8" x14ac:dyDescent="0.25">
      <c r="A33" s="10" t="s">
        <v>35</v>
      </c>
      <c r="B33" s="10" t="s">
        <v>69</v>
      </c>
      <c r="C33" s="14">
        <f>1/F33/10</f>
        <v>0.33333333333333337</v>
      </c>
      <c r="D33" s="14">
        <f t="shared" si="0"/>
        <v>0.11111111111111113</v>
      </c>
      <c r="E33" s="22" t="s">
        <v>139</v>
      </c>
      <c r="F33" s="12">
        <v>0.3</v>
      </c>
      <c r="G33" s="12">
        <v>0.1</v>
      </c>
      <c r="H33" s="8" t="s">
        <v>103</v>
      </c>
    </row>
    <row r="34" spans="1:8" x14ac:dyDescent="0.25">
      <c r="A34" s="10" t="s">
        <v>36</v>
      </c>
      <c r="B34" s="10" t="s">
        <v>70</v>
      </c>
      <c r="C34" s="14">
        <f>1/F34/10</f>
        <v>3.7037037037037035E-2</v>
      </c>
      <c r="D34" s="14">
        <f t="shared" si="0"/>
        <v>6.858710562414265E-3</v>
      </c>
      <c r="E34" s="22" t="s">
        <v>144</v>
      </c>
      <c r="F34" s="12">
        <v>2.7</v>
      </c>
      <c r="G34" s="12">
        <v>0.5</v>
      </c>
      <c r="H34" s="8" t="s">
        <v>104</v>
      </c>
    </row>
    <row r="35" spans="1:8" x14ac:dyDescent="0.25">
      <c r="A35" s="10"/>
      <c r="B35" s="10"/>
      <c r="C35" s="11"/>
      <c r="F35" s="11"/>
      <c r="G35" s="11"/>
    </row>
    <row r="36" spans="1:8" x14ac:dyDescent="0.25">
      <c r="C36" s="11"/>
      <c r="F36" s="11"/>
      <c r="G3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zoomScale="90" zoomScaleNormal="90" workbookViewId="0">
      <selection activeCell="B40" sqref="B40"/>
    </sheetView>
  </sheetViews>
  <sheetFormatPr defaultRowHeight="15" x14ac:dyDescent="0.25"/>
  <cols>
    <col min="1" max="1" width="12" customWidth="1"/>
    <col min="2" max="2" width="114.5703125" customWidth="1"/>
    <col min="3" max="3" width="18" style="1" customWidth="1"/>
    <col min="4" max="4" width="18" style="11" customWidth="1"/>
    <col min="5" max="5" width="18" style="21" customWidth="1"/>
    <col min="6" max="6" width="15.7109375" style="1" customWidth="1"/>
    <col min="7" max="7" width="26.7109375" style="1" customWidth="1"/>
    <col min="8" max="8" width="12" style="2" customWidth="1"/>
  </cols>
  <sheetData>
    <row r="1" spans="1:8" x14ac:dyDescent="0.25">
      <c r="A1" t="s">
        <v>0</v>
      </c>
      <c r="B1" t="s">
        <v>1</v>
      </c>
      <c r="C1" s="2" t="s">
        <v>106</v>
      </c>
      <c r="D1" s="8" t="s">
        <v>107</v>
      </c>
      <c r="E1" s="18" t="s">
        <v>106</v>
      </c>
      <c r="F1" s="2" t="s">
        <v>2</v>
      </c>
      <c r="G1" s="2" t="s">
        <v>37</v>
      </c>
      <c r="H1" s="7" t="s">
        <v>71</v>
      </c>
    </row>
    <row r="2" spans="1:8" x14ac:dyDescent="0.25">
      <c r="A2" t="s">
        <v>4</v>
      </c>
      <c r="B2" t="s">
        <v>38</v>
      </c>
      <c r="C2" s="16">
        <f>1/F2*100</f>
        <v>14.285714285714285</v>
      </c>
      <c r="D2" s="16">
        <f>G2/F2*C2</f>
        <v>1.6326530612244898</v>
      </c>
      <c r="E2" s="20" t="s">
        <v>169</v>
      </c>
      <c r="F2" s="12">
        <v>7</v>
      </c>
      <c r="G2" s="12">
        <v>0.8</v>
      </c>
      <c r="H2" s="12" t="s">
        <v>72</v>
      </c>
    </row>
    <row r="3" spans="1:8" x14ac:dyDescent="0.25">
      <c r="A3" s="11" t="s">
        <v>5</v>
      </c>
      <c r="B3" s="9" t="s">
        <v>39</v>
      </c>
      <c r="C3" s="16">
        <f>1/F3*100</f>
        <v>2.8089887640449436</v>
      </c>
      <c r="D3" s="16">
        <f t="shared" ref="D3:D34" si="0">G3/F3*C3</f>
        <v>1.5780835753061481E-2</v>
      </c>
      <c r="E3" s="20" t="s">
        <v>145</v>
      </c>
      <c r="F3" s="12">
        <v>35.6</v>
      </c>
      <c r="G3" s="12">
        <v>0.2</v>
      </c>
      <c r="H3" s="12" t="s">
        <v>73</v>
      </c>
    </row>
    <row r="4" spans="1:8" x14ac:dyDescent="0.25">
      <c r="A4" t="s">
        <v>6</v>
      </c>
      <c r="B4" t="s">
        <v>40</v>
      </c>
      <c r="C4" s="16">
        <f>1/F4*100</f>
        <v>4.048582995951417</v>
      </c>
      <c r="D4" s="16">
        <f t="shared" si="0"/>
        <v>0.32782048550213905</v>
      </c>
      <c r="E4" s="20" t="s">
        <v>146</v>
      </c>
      <c r="F4" s="12">
        <v>24.7</v>
      </c>
      <c r="G4" s="12">
        <v>2</v>
      </c>
      <c r="H4" s="12" t="s">
        <v>74</v>
      </c>
    </row>
    <row r="5" spans="1:8" x14ac:dyDescent="0.25">
      <c r="A5" s="11" t="s">
        <v>7</v>
      </c>
      <c r="B5" s="9" t="s">
        <v>41</v>
      </c>
      <c r="C5" s="16">
        <f>1/F5*100</f>
        <v>2.4096385542168677</v>
      </c>
      <c r="D5" s="16">
        <f t="shared" si="0"/>
        <v>0.11612715923936712</v>
      </c>
      <c r="E5" s="20" t="s">
        <v>147</v>
      </c>
      <c r="F5" s="12">
        <v>41.5</v>
      </c>
      <c r="G5" s="12">
        <v>2</v>
      </c>
      <c r="H5" s="12" t="s">
        <v>75</v>
      </c>
    </row>
    <row r="6" spans="1:8" x14ac:dyDescent="0.25">
      <c r="A6" t="s">
        <v>8</v>
      </c>
      <c r="B6" t="s">
        <v>42</v>
      </c>
      <c r="C6" s="16">
        <f>1/F6*100</f>
        <v>28.571428571428569</v>
      </c>
      <c r="D6" s="16">
        <f t="shared" si="0"/>
        <v>0.81632653061224492</v>
      </c>
      <c r="E6" s="20" t="s">
        <v>148</v>
      </c>
      <c r="F6" s="12">
        <v>3.5</v>
      </c>
      <c r="G6" s="12">
        <v>0.1</v>
      </c>
      <c r="H6" s="12" t="s">
        <v>76</v>
      </c>
    </row>
    <row r="7" spans="1:8" x14ac:dyDescent="0.25">
      <c r="A7" t="s">
        <v>9</v>
      </c>
      <c r="B7" t="s">
        <v>43</v>
      </c>
      <c r="C7" s="16">
        <f>1/F7*100</f>
        <v>8.3333333333333321</v>
      </c>
      <c r="D7" s="16">
        <f t="shared" si="0"/>
        <v>0.34722222222222215</v>
      </c>
      <c r="E7" s="20" t="s">
        <v>149</v>
      </c>
      <c r="F7" s="12">
        <v>12</v>
      </c>
      <c r="G7" s="12">
        <v>0.5</v>
      </c>
      <c r="H7" s="12" t="s">
        <v>77</v>
      </c>
    </row>
    <row r="8" spans="1:8" x14ac:dyDescent="0.25">
      <c r="A8" s="11" t="s">
        <v>10</v>
      </c>
      <c r="B8" s="11" t="s">
        <v>44</v>
      </c>
      <c r="C8" s="16">
        <f>1/F8*100</f>
        <v>7.4074074074074066</v>
      </c>
      <c r="D8" s="16">
        <f t="shared" si="0"/>
        <v>0.43895747599451301</v>
      </c>
      <c r="E8" s="20" t="s">
        <v>150</v>
      </c>
      <c r="F8" s="12">
        <v>13.5</v>
      </c>
      <c r="G8" s="12">
        <v>0.8</v>
      </c>
      <c r="H8" s="12" t="s">
        <v>78</v>
      </c>
    </row>
    <row r="9" spans="1:8" x14ac:dyDescent="0.25">
      <c r="A9" s="11" t="s">
        <v>11</v>
      </c>
      <c r="B9" s="11" t="s">
        <v>45</v>
      </c>
      <c r="C9" s="16">
        <f>1/F9*100</f>
        <v>111.11111111111111</v>
      </c>
      <c r="D9" s="16">
        <f t="shared" si="0"/>
        <v>12.345679012345681</v>
      </c>
      <c r="E9" s="20" t="s">
        <v>151</v>
      </c>
      <c r="F9" s="12">
        <v>0.9</v>
      </c>
      <c r="G9" s="12">
        <v>0.1</v>
      </c>
      <c r="H9" s="12" t="s">
        <v>79</v>
      </c>
    </row>
    <row r="10" spans="1:8" x14ac:dyDescent="0.25">
      <c r="A10" t="s">
        <v>12</v>
      </c>
      <c r="B10" t="s">
        <v>46</v>
      </c>
      <c r="C10" s="16">
        <f>1/F10*100</f>
        <v>15.873015873015872</v>
      </c>
      <c r="D10" s="16">
        <f t="shared" si="0"/>
        <v>0.7558578987150415</v>
      </c>
      <c r="E10" s="20" t="s">
        <v>152</v>
      </c>
      <c r="F10" s="12">
        <v>6.3</v>
      </c>
      <c r="G10" s="12">
        <v>0.3</v>
      </c>
      <c r="H10" s="12" t="s">
        <v>80</v>
      </c>
    </row>
    <row r="11" spans="1:8" x14ac:dyDescent="0.25">
      <c r="A11" s="9" t="s">
        <v>13</v>
      </c>
      <c r="B11" s="9" t="s">
        <v>47</v>
      </c>
      <c r="C11" s="16">
        <f>1/F11*100</f>
        <v>71.428571428571431</v>
      </c>
      <c r="D11" s="16">
        <f t="shared" si="0"/>
        <v>15.306122448979593</v>
      </c>
      <c r="E11" s="20" t="s">
        <v>153</v>
      </c>
      <c r="F11" s="12">
        <v>1.4</v>
      </c>
      <c r="G11" s="12">
        <v>0.3</v>
      </c>
      <c r="H11" s="12" t="s">
        <v>81</v>
      </c>
    </row>
    <row r="12" spans="1:8" x14ac:dyDescent="0.25">
      <c r="A12" t="s">
        <v>14</v>
      </c>
      <c r="B12" t="s">
        <v>48</v>
      </c>
      <c r="C12" s="16">
        <f>1/F12*100</f>
        <v>14.285714285714285</v>
      </c>
      <c r="D12" s="16">
        <f t="shared" si="0"/>
        <v>2.2448979591836737</v>
      </c>
      <c r="E12" s="20" t="s">
        <v>154</v>
      </c>
      <c r="F12" s="12">
        <v>7</v>
      </c>
      <c r="G12" s="12">
        <v>1.1000000000000001</v>
      </c>
      <c r="H12" s="12" t="s">
        <v>82</v>
      </c>
    </row>
    <row r="13" spans="1:8" x14ac:dyDescent="0.25">
      <c r="A13" t="s">
        <v>15</v>
      </c>
      <c r="B13" t="s">
        <v>49</v>
      </c>
      <c r="C13" s="16">
        <f>1/F13*100</f>
        <v>100</v>
      </c>
      <c r="D13" s="16">
        <f t="shared" si="0"/>
        <v>10</v>
      </c>
      <c r="E13" s="20" t="s">
        <v>155</v>
      </c>
      <c r="F13" s="12">
        <v>1</v>
      </c>
      <c r="G13" s="12">
        <v>0.1</v>
      </c>
      <c r="H13" s="12" t="s">
        <v>83</v>
      </c>
    </row>
    <row r="14" spans="1:8" x14ac:dyDescent="0.25">
      <c r="A14" s="10" t="s">
        <v>16</v>
      </c>
      <c r="B14" s="10" t="s">
        <v>50</v>
      </c>
      <c r="C14" s="16">
        <f>1/F14*100</f>
        <v>15.151515151515152</v>
      </c>
      <c r="D14" s="16">
        <f t="shared" si="0"/>
        <v>2.5252525252525255</v>
      </c>
      <c r="E14" s="20" t="s">
        <v>156</v>
      </c>
      <c r="F14" s="12">
        <v>6.6</v>
      </c>
      <c r="G14" s="12">
        <v>1.1000000000000001</v>
      </c>
      <c r="H14" s="12" t="s">
        <v>84</v>
      </c>
    </row>
    <row r="15" spans="1:8" x14ac:dyDescent="0.25">
      <c r="A15" t="s">
        <v>17</v>
      </c>
      <c r="B15" t="s">
        <v>51</v>
      </c>
      <c r="C15" s="16">
        <f>1/F15*100</f>
        <v>90.909090909090907</v>
      </c>
      <c r="D15" s="16">
        <f t="shared" si="0"/>
        <v>8.2644628099173545</v>
      </c>
      <c r="E15" s="20" t="s">
        <v>157</v>
      </c>
      <c r="F15" s="12">
        <v>1.1000000000000001</v>
      </c>
      <c r="G15" s="12">
        <v>0.1</v>
      </c>
      <c r="H15" s="12" t="s">
        <v>85</v>
      </c>
    </row>
    <row r="16" spans="1:8" x14ac:dyDescent="0.25">
      <c r="A16" t="s">
        <v>18</v>
      </c>
      <c r="B16" t="s">
        <v>52</v>
      </c>
      <c r="C16" s="16">
        <f>1/F16*100</f>
        <v>7.6923076923076925</v>
      </c>
      <c r="D16" s="16">
        <f t="shared" si="0"/>
        <v>0.7100591715976331</v>
      </c>
      <c r="E16" s="20" t="s">
        <v>158</v>
      </c>
      <c r="F16" s="12">
        <v>13</v>
      </c>
      <c r="G16" s="12">
        <v>1.2</v>
      </c>
      <c r="H16" s="12" t="s">
        <v>86</v>
      </c>
    </row>
    <row r="17" spans="1:8" x14ac:dyDescent="0.25">
      <c r="A17" s="10" t="s">
        <v>19</v>
      </c>
      <c r="B17" s="10" t="s">
        <v>53</v>
      </c>
      <c r="C17" s="16">
        <f>1/F17*100</f>
        <v>125</v>
      </c>
      <c r="D17" s="16">
        <f t="shared" si="0"/>
        <v>31.25</v>
      </c>
      <c r="E17" s="20" t="s">
        <v>159</v>
      </c>
      <c r="F17" s="12">
        <v>0.8</v>
      </c>
      <c r="G17" s="12">
        <v>0.2</v>
      </c>
      <c r="H17" s="12" t="s">
        <v>87</v>
      </c>
    </row>
    <row r="18" spans="1:8" x14ac:dyDescent="0.25">
      <c r="A18" s="10" t="s">
        <v>20</v>
      </c>
      <c r="B18" s="10" t="s">
        <v>54</v>
      </c>
      <c r="C18" s="16">
        <f>1/F18*100</f>
        <v>83.333333333333343</v>
      </c>
      <c r="D18" s="16">
        <f t="shared" si="0"/>
        <v>6.9444444444444464</v>
      </c>
      <c r="E18" s="20" t="s">
        <v>160</v>
      </c>
      <c r="F18" s="12">
        <v>1.2</v>
      </c>
      <c r="G18" s="12">
        <v>0.1</v>
      </c>
      <c r="H18" s="12" t="s">
        <v>88</v>
      </c>
    </row>
    <row r="19" spans="1:8" x14ac:dyDescent="0.25">
      <c r="A19" t="s">
        <v>21</v>
      </c>
      <c r="B19" t="s">
        <v>55</v>
      </c>
      <c r="C19" s="16">
        <f>1/F19*100</f>
        <v>166.66666666666669</v>
      </c>
      <c r="D19" s="16">
        <f t="shared" si="0"/>
        <v>27.777777777777786</v>
      </c>
      <c r="E19" s="20" t="s">
        <v>161</v>
      </c>
      <c r="F19" s="12">
        <v>0.6</v>
      </c>
      <c r="G19" s="12">
        <v>0.1</v>
      </c>
      <c r="H19" s="12" t="s">
        <v>89</v>
      </c>
    </row>
    <row r="20" spans="1:8" x14ac:dyDescent="0.25">
      <c r="A20" t="s">
        <v>22</v>
      </c>
      <c r="B20" t="s">
        <v>56</v>
      </c>
      <c r="C20" s="16">
        <f>1/F20*100</f>
        <v>20.833333333333336</v>
      </c>
      <c r="D20" s="16">
        <f t="shared" si="0"/>
        <v>1.7361111111111116</v>
      </c>
      <c r="E20" s="20" t="s">
        <v>162</v>
      </c>
      <c r="F20" s="12">
        <v>4.8</v>
      </c>
      <c r="G20" s="12">
        <v>0.4</v>
      </c>
      <c r="H20" s="12" t="s">
        <v>90</v>
      </c>
    </row>
    <row r="21" spans="1:8" x14ac:dyDescent="0.25">
      <c r="A21" s="9" t="s">
        <v>23</v>
      </c>
      <c r="B21" s="10" t="s">
        <v>57</v>
      </c>
      <c r="C21" s="8" t="s">
        <v>3</v>
      </c>
      <c r="D21" s="8" t="s">
        <v>3</v>
      </c>
      <c r="E21" s="20" t="s">
        <v>127</v>
      </c>
      <c r="F21" s="12" t="s">
        <v>3</v>
      </c>
      <c r="G21" s="12">
        <v>0</v>
      </c>
      <c r="H21" s="12" t="s">
        <v>91</v>
      </c>
    </row>
    <row r="22" spans="1:8" x14ac:dyDescent="0.25">
      <c r="A22" s="10" t="s">
        <v>24</v>
      </c>
      <c r="B22" s="10" t="s">
        <v>58</v>
      </c>
      <c r="C22" s="16">
        <f>1/F22*100</f>
        <v>166.66666666666669</v>
      </c>
      <c r="D22" s="16">
        <f t="shared" si="0"/>
        <v>27.777777777777786</v>
      </c>
      <c r="E22" s="20" t="s">
        <v>161</v>
      </c>
      <c r="F22" s="12">
        <v>0.6</v>
      </c>
      <c r="G22" s="12">
        <v>0.1</v>
      </c>
      <c r="H22" s="12" t="s">
        <v>92</v>
      </c>
    </row>
    <row r="23" spans="1:8" x14ac:dyDescent="0.25">
      <c r="A23" s="10" t="s">
        <v>25</v>
      </c>
      <c r="B23" s="10" t="s">
        <v>59</v>
      </c>
      <c r="C23" s="16">
        <f>1/F23*100</f>
        <v>142.85714285714286</v>
      </c>
      <c r="D23" s="16">
        <f t="shared" si="0"/>
        <v>20.408163265306126</v>
      </c>
      <c r="E23" s="20" t="s">
        <v>163</v>
      </c>
      <c r="F23" s="12">
        <v>0.7</v>
      </c>
      <c r="G23" s="12">
        <v>0.1</v>
      </c>
      <c r="H23" s="12" t="s">
        <v>93</v>
      </c>
    </row>
    <row r="24" spans="1:8" x14ac:dyDescent="0.25">
      <c r="A24" s="10" t="s">
        <v>26</v>
      </c>
      <c r="B24" s="10" t="s">
        <v>60</v>
      </c>
      <c r="C24" s="16">
        <f>1/F24*100</f>
        <v>58.82352941176471</v>
      </c>
      <c r="D24" s="16">
        <f t="shared" si="0"/>
        <v>6.920415224913496</v>
      </c>
      <c r="E24" s="20" t="s">
        <v>164</v>
      </c>
      <c r="F24" s="12">
        <v>1.7</v>
      </c>
      <c r="G24" s="12">
        <v>0.2</v>
      </c>
      <c r="H24" s="12" t="s">
        <v>94</v>
      </c>
    </row>
    <row r="25" spans="1:8" x14ac:dyDescent="0.25">
      <c r="A25" s="10" t="s">
        <v>27</v>
      </c>
      <c r="B25" s="10" t="s">
        <v>61</v>
      </c>
      <c r="C25" s="8" t="s">
        <v>3</v>
      </c>
      <c r="D25" s="8" t="s">
        <v>3</v>
      </c>
      <c r="E25" s="20" t="s">
        <v>127</v>
      </c>
      <c r="F25" s="12" t="s">
        <v>3</v>
      </c>
      <c r="G25" s="12">
        <v>0</v>
      </c>
      <c r="H25" s="12" t="s">
        <v>95</v>
      </c>
    </row>
    <row r="26" spans="1:8" x14ac:dyDescent="0.25">
      <c r="A26" s="10" t="s">
        <v>28</v>
      </c>
      <c r="B26" s="10" t="s">
        <v>62</v>
      </c>
      <c r="C26" s="8" t="s">
        <v>3</v>
      </c>
      <c r="D26" s="8" t="s">
        <v>3</v>
      </c>
      <c r="E26" s="20" t="s">
        <v>127</v>
      </c>
      <c r="F26" s="12" t="s">
        <v>3</v>
      </c>
      <c r="G26" s="12">
        <v>0</v>
      </c>
      <c r="H26" s="12" t="s">
        <v>96</v>
      </c>
    </row>
    <row r="27" spans="1:8" x14ac:dyDescent="0.25">
      <c r="A27" s="10" t="s">
        <v>29</v>
      </c>
      <c r="B27" s="10" t="s">
        <v>63</v>
      </c>
      <c r="C27" s="8" t="s">
        <v>3</v>
      </c>
      <c r="D27" s="8" t="s">
        <v>3</v>
      </c>
      <c r="E27" s="20" t="s">
        <v>127</v>
      </c>
      <c r="F27" s="12" t="s">
        <v>3</v>
      </c>
      <c r="G27" s="12">
        <v>0</v>
      </c>
      <c r="H27" s="12" t="s">
        <v>97</v>
      </c>
    </row>
    <row r="28" spans="1:8" x14ac:dyDescent="0.25">
      <c r="A28" s="10" t="s">
        <v>30</v>
      </c>
      <c r="B28" s="10" t="s">
        <v>64</v>
      </c>
      <c r="C28" s="8" t="s">
        <v>3</v>
      </c>
      <c r="D28" s="8" t="s">
        <v>3</v>
      </c>
      <c r="E28" s="20" t="s">
        <v>127</v>
      </c>
      <c r="F28" s="12" t="s">
        <v>3</v>
      </c>
      <c r="G28" s="12">
        <v>0</v>
      </c>
      <c r="H28" s="12" t="s">
        <v>98</v>
      </c>
    </row>
    <row r="29" spans="1:8" x14ac:dyDescent="0.25">
      <c r="A29" s="10" t="s">
        <v>31</v>
      </c>
      <c r="B29" s="10" t="s">
        <v>65</v>
      </c>
      <c r="C29" s="8" t="s">
        <v>3</v>
      </c>
      <c r="D29" s="8" t="s">
        <v>3</v>
      </c>
      <c r="E29" s="20" t="s">
        <v>127</v>
      </c>
      <c r="F29" s="12" t="s">
        <v>3</v>
      </c>
      <c r="G29" s="12">
        <v>0</v>
      </c>
      <c r="H29" s="12" t="s">
        <v>99</v>
      </c>
    </row>
    <row r="30" spans="1:8" x14ac:dyDescent="0.25">
      <c r="A30" s="10" t="s">
        <v>32</v>
      </c>
      <c r="B30" s="10" t="s">
        <v>66</v>
      </c>
      <c r="C30" s="8" t="s">
        <v>3</v>
      </c>
      <c r="D30" s="8" t="s">
        <v>3</v>
      </c>
      <c r="E30" s="20" t="s">
        <v>127</v>
      </c>
      <c r="F30" s="12" t="s">
        <v>3</v>
      </c>
      <c r="G30" s="12">
        <v>0</v>
      </c>
      <c r="H30" s="12" t="s">
        <v>100</v>
      </c>
    </row>
    <row r="31" spans="1:8" x14ac:dyDescent="0.25">
      <c r="A31" t="s">
        <v>33</v>
      </c>
      <c r="B31" t="s">
        <v>67</v>
      </c>
      <c r="C31" s="16">
        <f>1/F31*100</f>
        <v>333.33333333333337</v>
      </c>
      <c r="D31" s="16">
        <f t="shared" si="0"/>
        <v>111.11111111111114</v>
      </c>
      <c r="E31" s="20" t="s">
        <v>165</v>
      </c>
      <c r="F31" s="12">
        <v>0.3</v>
      </c>
      <c r="G31" s="12">
        <v>0.1</v>
      </c>
      <c r="H31" s="12" t="s">
        <v>101</v>
      </c>
    </row>
    <row r="32" spans="1:8" x14ac:dyDescent="0.25">
      <c r="A32" s="10" t="s">
        <v>34</v>
      </c>
      <c r="B32" s="10" t="s">
        <v>68</v>
      </c>
      <c r="C32" s="16">
        <f>1/F32*100</f>
        <v>9.0909090909090917</v>
      </c>
      <c r="D32" s="16">
        <f t="shared" si="0"/>
        <v>0.49586776859504134</v>
      </c>
      <c r="E32" s="20" t="s">
        <v>166</v>
      </c>
      <c r="F32" s="12">
        <v>11</v>
      </c>
      <c r="G32" s="12">
        <v>0.6</v>
      </c>
      <c r="H32" s="12" t="s">
        <v>102</v>
      </c>
    </row>
    <row r="33" spans="1:8" x14ac:dyDescent="0.25">
      <c r="A33" s="10" t="s">
        <v>35</v>
      </c>
      <c r="B33" s="10" t="s">
        <v>69</v>
      </c>
      <c r="C33" s="16">
        <f>1/F33*100</f>
        <v>5</v>
      </c>
      <c r="D33" s="16">
        <f t="shared" si="0"/>
        <v>0.1</v>
      </c>
      <c r="E33" s="20" t="s">
        <v>167</v>
      </c>
      <c r="F33" s="12">
        <v>20</v>
      </c>
      <c r="G33" s="12">
        <v>0.4</v>
      </c>
      <c r="H33" s="12" t="s">
        <v>103</v>
      </c>
    </row>
    <row r="34" spans="1:8" x14ac:dyDescent="0.25">
      <c r="A34" s="10" t="s">
        <v>36</v>
      </c>
      <c r="B34" s="10" t="s">
        <v>70</v>
      </c>
      <c r="C34" s="16">
        <f>1/F34*100</f>
        <v>43.478260869565219</v>
      </c>
      <c r="D34" s="16">
        <f t="shared" si="0"/>
        <v>1.8903591682419663</v>
      </c>
      <c r="E34" s="20" t="s">
        <v>168</v>
      </c>
      <c r="F34" s="12">
        <v>2.2999999999999998</v>
      </c>
      <c r="G34" s="12">
        <v>0.1</v>
      </c>
      <c r="H34" s="12" t="s">
        <v>104</v>
      </c>
    </row>
    <row r="35" spans="1:8" x14ac:dyDescent="0.25">
      <c r="A35" s="10"/>
      <c r="B35" s="10"/>
      <c r="C35" s="11"/>
      <c r="F35" s="11"/>
      <c r="G35" s="11"/>
      <c r="H35" s="1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hGal-1</vt:lpstr>
      <vt:lpstr>hGal-3C</vt:lpstr>
      <vt:lpstr>hGal-7</vt:lpstr>
      <vt:lpstr>hGal-9N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Windows User</cp:lastModifiedBy>
  <dcterms:created xsi:type="dcterms:W3CDTF">2025-08-14T16:46:02Z</dcterms:created>
  <dcterms:modified xsi:type="dcterms:W3CDTF">2025-10-08T23:58:57Z</dcterms:modified>
</cp:coreProperties>
</file>