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ters\Desktop\"/>
    </mc:Choice>
  </mc:AlternateContent>
  <xr:revisionPtr revIDLastSave="0" documentId="13_ncr:1_{F60E0A62-59A4-47FB-AAD3-000B1FE67E03}" xr6:coauthVersionLast="45" xr6:coauthVersionMax="45" xr10:uidLastSave="{00000000-0000-0000-0000-000000000000}"/>
  <bookViews>
    <workbookView xWindow="-120" yWindow="-120" windowWidth="25440" windowHeight="15390" activeTab="3" xr2:uid="{B3A963B2-CA84-4F40-90FD-6ACA638685A6}"/>
  </bookViews>
  <sheets>
    <sheet name="hGal-1" sheetId="5" r:id="rId1"/>
    <sheet name="hGal-3C" sheetId="1" r:id="rId2"/>
    <sheet name="hGal-7" sheetId="6" r:id="rId3"/>
    <sheet name="hGal-9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7" l="1"/>
  <c r="D3" i="7"/>
  <c r="D5" i="7"/>
  <c r="D6" i="7"/>
  <c r="D8" i="7"/>
  <c r="D9" i="7"/>
  <c r="D10" i="7"/>
  <c r="D12" i="7"/>
  <c r="D14" i="7"/>
  <c r="D15" i="7"/>
  <c r="D17" i="7"/>
  <c r="D18" i="7"/>
  <c r="D19" i="7"/>
  <c r="D21" i="7"/>
  <c r="D22" i="7"/>
  <c r="D23" i="7"/>
  <c r="D25" i="7"/>
  <c r="D27" i="7"/>
  <c r="D28" i="7"/>
  <c r="D31" i="7"/>
  <c r="D33" i="7"/>
  <c r="D35" i="7"/>
  <c r="D49" i="7"/>
  <c r="D50" i="7"/>
  <c r="D52" i="7"/>
  <c r="D54" i="7"/>
  <c r="D49" i="6"/>
  <c r="D25" i="6"/>
  <c r="D28" i="6"/>
  <c r="D27" i="6"/>
  <c r="D22" i="6"/>
  <c r="D21" i="6"/>
  <c r="D18" i="6"/>
  <c r="D17" i="6"/>
  <c r="D14" i="6"/>
  <c r="D9" i="6"/>
  <c r="D8" i="6"/>
  <c r="D5" i="6"/>
  <c r="D52" i="6"/>
  <c r="D54" i="6"/>
  <c r="D50" i="6"/>
  <c r="D31" i="6"/>
  <c r="D33" i="6"/>
  <c r="D35" i="6"/>
  <c r="D37" i="6"/>
  <c r="D39" i="6"/>
  <c r="D41" i="6"/>
  <c r="D45" i="6"/>
  <c r="D47" i="6"/>
  <c r="D29" i="6"/>
  <c r="D23" i="6"/>
  <c r="D19" i="6"/>
  <c r="D15" i="6"/>
  <c r="D12" i="6"/>
  <c r="D10" i="6"/>
  <c r="D6" i="6"/>
  <c r="D3" i="6"/>
  <c r="D2" i="6"/>
  <c r="D22" i="5"/>
  <c r="D21" i="5"/>
  <c r="D18" i="5"/>
  <c r="D17" i="5"/>
  <c r="D14" i="5"/>
  <c r="D19" i="5"/>
  <c r="D15" i="5"/>
  <c r="D12" i="5"/>
  <c r="D10" i="5"/>
  <c r="D28" i="5"/>
  <c r="D27" i="5"/>
  <c r="D52" i="5"/>
  <c r="D54" i="5"/>
  <c r="D50" i="5"/>
  <c r="D49" i="5"/>
  <c r="D31" i="5"/>
  <c r="D33" i="5"/>
  <c r="D35" i="5"/>
  <c r="D37" i="5"/>
  <c r="D39" i="5"/>
  <c r="D41" i="5"/>
  <c r="D43" i="5"/>
  <c r="D45" i="5"/>
  <c r="D47" i="5"/>
  <c r="D29" i="5"/>
  <c r="D25" i="5"/>
  <c r="D23" i="5"/>
  <c r="D9" i="5"/>
  <c r="D8" i="5"/>
  <c r="D6" i="5"/>
  <c r="D5" i="5"/>
  <c r="D3" i="5"/>
  <c r="D2" i="5"/>
  <c r="D54" i="1"/>
  <c r="D3" i="1"/>
  <c r="D5" i="1"/>
  <c r="D6" i="1"/>
  <c r="D8" i="1"/>
  <c r="D9" i="1"/>
  <c r="D10" i="1"/>
  <c r="D12" i="1"/>
  <c r="D14" i="1"/>
  <c r="D15" i="1"/>
  <c r="D17" i="1"/>
  <c r="D18" i="1"/>
  <c r="D19" i="1"/>
  <c r="D21" i="1"/>
  <c r="D22" i="1"/>
  <c r="D23" i="1"/>
  <c r="D25" i="1"/>
  <c r="D27" i="1"/>
  <c r="D28" i="1"/>
  <c r="D29" i="1"/>
  <c r="D31" i="1"/>
  <c r="D33" i="1"/>
  <c r="D35" i="1"/>
  <c r="D49" i="1"/>
  <c r="D50" i="1"/>
  <c r="D52" i="1"/>
  <c r="D2" i="1"/>
</calcChain>
</file>

<file path=xl/sharedStrings.xml><?xml version="1.0" encoding="utf-8"?>
<sst xmlns="http://schemas.openxmlformats.org/spreadsheetml/2006/main" count="316" uniqueCount="73">
  <si>
    <t>ID</t>
  </si>
  <si>
    <t>Glycan</t>
  </si>
  <si>
    <t>Symbol</t>
  </si>
  <si>
    <t>Kd</t>
  </si>
  <si>
    <t>1/Kd</t>
  </si>
  <si>
    <t>NB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</si>
  <si>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</si>
  <si>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</si>
  <si>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</si>
  <si>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</si>
  <si>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</si>
  <si>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</si>
  <si>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</si>
  <si>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</si>
  <si>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</si>
  <si>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</si>
  <si>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</si>
  <si>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</si>
  <si>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</si>
  <si>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</si>
  <si>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</si>
  <si>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</si>
  <si>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</si>
  <si>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</si>
  <si>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</si>
  <si>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</si>
  <si>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</si>
  <si>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</si>
  <si>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</si>
  <si>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</si>
  <si>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</si>
  <si>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</si>
  <si>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</si>
  <si>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</si>
  <si>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</si>
  <si>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</si>
  <si>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</si>
  <si>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</si>
  <si>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</si>
  <si>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SD</t>
  </si>
  <si>
    <t>β-D-Gal-(1→4)-β-D-GlcNAc(1→3)-β-D-Gal(1→4)-β-D-GlcNAc(1→3)-β-D-Gal(1→4)-βD-Glc</t>
  </si>
  <si>
    <t>α-D-Neu5Ac(2→3)-β-D-Gal(1→3)-[α-L-Fuc(1→4)]-β-D-GlcNAc(1→3)-β-D-Gal(1→4)-βD-Glc</t>
  </si>
  <si>
    <t>α-L-Fuc(1→2)-β-D-Gal(1→3)-β-D-GlcNAc(1→3)-β-D-Gal(1→4)-β-D-Glc</t>
  </si>
  <si>
    <t>β-D-Gal(1→3)-[α-L-Fuc(1→4)]-β-D-GlcNAc(1→3)-β-D-Gal(1→4)-β-D-Glc</t>
  </si>
  <si>
    <t>β-D-Gal-(1→4)-β-D-GlcNAc-(1→3)-β-D-Gal-(1→4)-β-D-GlcNAc-(1→3)- β-D-Gal-(1→4)-β-D-GlcNAc-(1→3)-β-D-Gal-(1→4)-β-D-Glc</t>
  </si>
  <si>
    <t xml:space="preserve">β-D-Gal(1→4)-β-D-GlcNAc(1→3)-β-D-Gal(1→4)-β-D-Glc </t>
  </si>
  <si>
    <t>β-D-Gal-(1→4)-[α-L-Fuc-(1→3)]-β-D-GlcNAc-(1→3)-β-D-Gal-(1→4)-β-D-Glc</t>
  </si>
  <si>
    <t>β-D-Gal(1→4)-β-D-GlcNAc(1→6)-[-β-D-Gal(1→4)-β-D-GlcNAc(1→3)]-β-DGal(β1→4)-β-D-Glc</t>
  </si>
  <si>
    <t>β-D-Gal(1→3)-β-D-GlcNAc(1→3)-β-D-Gal(1→4)-β-D-Glc</t>
  </si>
  <si>
    <t>β-D-Gal-(1→4)-[α-L-Fuc-(1→3)]-β-D-GlcNAc-(1→6)-[α-L-Fuc-(1→2)-β-D-Gal-(1→3)-β-D-GlcNAc-(1→3)]-β-D-Gal-(1→4)-β-D-Glc</t>
  </si>
  <si>
    <t>α-D-Neu5Ac(2→3)-β-D-Gal(1→3)-β-D-GlcNAc(1→3)-β-D-Gal(1→4)-β-D-Glc</t>
  </si>
  <si>
    <t>α-D-Neu5Ac(2→3)-β-D-Gal(1→4)-β-D-GlcNAc(1→3)-β-D-Gal(1→4)-β-D-Glc</t>
  </si>
  <si>
    <t>α-L-Fuc-(1→2)-β-D-Gal-(1→3)-[α-L-Fuc-(1→4)]-β-D-GlcNAc-(1→3)-β-D-Gal(1→4)-βD-Glc</t>
  </si>
  <si>
    <t>α-L-Fuc-(1→2)-β-D-Gal-(1→3)-[α-D-Neu5Ac-(2→6)]-β-D-GlcNAc-(1→3)-β-D-Gal-(1→4)-β-D-Glc</t>
  </si>
  <si>
    <t>α-D-Neu5Ac(2→6)-β-D-Gal(1→4)-β-D-GlcNAc(1→3)-β-D-Gal(1→4)-β-D-Glc</t>
  </si>
  <si>
    <t>α-L-Fuc-(1→2)-β-D-Gal-(1→4)-β-D-Glc</t>
  </si>
  <si>
    <t>β-D-Gal(1→3)-β-D-GlcNAc(1→3)-β-D-Gal(1→4)-[α-L-Fuc(1→3)]-β-D-Glc</t>
  </si>
  <si>
    <t>α-D-Neu5Ac-(2→3)-β-D-Gal(1→4)-β-D-Glc</t>
  </si>
  <si>
    <t>β-D-GlcNAc(1→3)-β-D-Gal(1→4)-β-D-Glc</t>
  </si>
  <si>
    <t>α-D-Neu5Ac-(2→3)-β-D-Gal-(1→3)-[α-D-Neu5Ac-(2→6)]-β-D-GlcNAc-(1→3)-β-D-Gal-(1→4)-β-D-Glc</t>
  </si>
  <si>
    <t>β-D-Gal(1→4)-β-D-GlcNAc(1→3)-β-D-Gal(1→4)-[α-L-Fuc(1→3)]-β-D-Glc</t>
  </si>
  <si>
    <t>α-D-Neu5Ac(2→6)-[β-D-Gal(1→3)]-β-D-GlcNAc(1→3)-β-D-Gal(1→4)-β-D-Glc</t>
  </si>
  <si>
    <t>β-D-Gal(1→3)-[α-L-Fuc(1→4)]-β-D-GlcNAc(1→3)-β-D-Gal(1→4)-[α-L-Fuc(1→3)]-β-DGlcNAc(1→3)-β-D-Gal(1→4)-β-D-Glc</t>
  </si>
  <si>
    <t>β-D-Gal(1→4)-[α-L-Fuc(1→3)]-β-D-Glc</t>
  </si>
  <si>
    <t>α-D-Neu5Ac(2→6)-β-D-Gal(1→4)-β-D-Glc</t>
  </si>
  <si>
    <t>α-L-Fuc(1→2)- β-D-Gal(1→4)-[α-L-Fuc(1→3)]-β-D-Glc</t>
  </si>
  <si>
    <t>α-D-Neu5Ac(2→3)-β-D-Gal(1→4)-[α-L-Fuc(α1→3)]-β-D-Glc</t>
  </si>
  <si>
    <t>β-D-Gal(1→3)-[α-L-Fuc(1→4)]-β-D-GlcNAc(1→3)-β-D-Gal(1→4)-[α-D-Fuc(1→3)]-β-DGlc</t>
  </si>
  <si>
    <t>β-D-Gal(1→4)-[α-L-Fuc(1→3)]-β-D-GlcNAc(1→3)-β-D-Gal(1→4)-[α-D-Fuc(1→3)]-β-DGlc</t>
  </si>
  <si>
    <t>β-D-Gal-(1→4)-β-D-Glc</t>
  </si>
  <si>
    <t>α-D-GalNAc-(1→3)-[α-L-Fuc-(1→2)]-β-D-Gal-(1→4)-β-D-Glc</t>
  </si>
  <si>
    <t>α-D-GalNAc-(1→3)-[α-L-Fuc-(1→2)]-β-D-Gal-(1→3)-β-D-GlcNAc-(1→3)-β-D-Gal-(1→4)-β-D-Glc</t>
  </si>
  <si>
    <t>β-D-Gal-(1→4)-β-D-GlcNAc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</si>
</sst>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0C0C21B-84BA-47FC-B51C-848ADC10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44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A864608-1F40-4C62-AD99-69A42FBE4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35A713-05F5-4F46-98E7-7FD211690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459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BC4B62-2F80-49D3-BACA-913EA3CC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4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8272B2A-C49D-4EA9-A8EB-E1AA5EE2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5AB6A3E-3E26-4E97-853F-80D0F11BE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66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A05DE9-1C93-437D-A65F-91E580CDA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3004753-55B0-48CE-83B5-256B598A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BE289CA-39E9-4F16-95A8-12E252F5C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64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0F1FF2D-0795-4859-B39A-CEA760D3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102179C-0AE4-4E4E-ADE2-9C9441583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4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EEE4DC2-7214-4D0D-A265-A5E8FE9E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18</xdr:row>
      <xdr:rowOff>47531</xdr:rowOff>
    </xdr:from>
    <xdr:to>
      <xdr:col>2</xdr:col>
      <xdr:colOff>1676087</xdr:colOff>
      <xdr:row>19</xdr:row>
      <xdr:rowOff>171451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1B5E9DF-B5D2-4891-8FE9-BD4519448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3476531"/>
          <a:ext cx="799787" cy="31442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20</xdr:row>
      <xdr:rowOff>28141</xdr:rowOff>
    </xdr:from>
    <xdr:to>
      <xdr:col>2</xdr:col>
      <xdr:colOff>1799911</xdr:colOff>
      <xdr:row>20</xdr:row>
      <xdr:rowOff>178680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3AE4A30-5B2A-4264-B2AF-BB119EE1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3838141"/>
          <a:ext cx="942661" cy="150539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633434-64B4-4F1A-9D8B-B8399595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273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48D2E1F-B12F-495D-A381-94659724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07EF99E-C340-4FE8-B74E-6D1DC42A4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31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DE4B309-9BFF-4E06-8BF0-69ABB560A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04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E4E1EB-1B32-4CC1-BD61-099B8453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490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917427</xdr:colOff>
      <xdr:row>28</xdr:row>
      <xdr:rowOff>28575</xdr:rowOff>
    </xdr:from>
    <xdr:to>
      <xdr:col>2</xdr:col>
      <xdr:colOff>1742758</xdr:colOff>
      <xdr:row>29</xdr:row>
      <xdr:rowOff>171322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A25516D-0382-4BDE-BE66-9846806B0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752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E0AA8B1-B2DC-4A59-9880-445A5A01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38D2D30-DA5F-4119-94E4-D486A22AA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68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6E0F20D-7C5C-40BC-8F3B-DC2F15F8D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ED0321A-A7FB-4C9F-A5EA-B464639E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C5E2794-CCBF-41C7-84F5-4F9712273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27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3D1EA1B-0103-410D-8816-4BDE9B8A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EA35C2A-1350-442A-9FFF-39412C5E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25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A4FE2BD-CA60-4C56-93BA-19ACA19F4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DD09D73-5FD7-4A90-A357-112E753E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8875DE7-E5F8-493A-8AD6-D837CAC3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95DAF86-9BBD-42AA-8049-E32FB1101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38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BD081BC-84C1-438D-AC75-B8015D7CD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830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32E97BC-6205-4FF8-9AFA-9E491DEB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779" y="10182225"/>
          <a:ext cx="472247" cy="247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987D82-AC39-4AB2-B0D4-3E745FDA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44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4BBCB1-E202-4870-ACCB-352866A4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8993BD-A490-43A9-8FAF-655C3DF9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459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26A807-39A7-40A8-993D-74613371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4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B46D8B-A9DF-4E99-B3D6-08C848C2B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239F5AC-615B-4AE0-A781-B54A3B095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66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7C76321-8CA5-43B9-AF5D-8C0A973B8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A11DF17-B485-4C4A-91FE-4CA86FA0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058F79F-9BF7-47ED-BFC1-64E85B2BA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64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B67B6B8-6F4D-488D-9ADF-E6632BB5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DF8C73B-46CD-426C-BB05-B7453213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4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568DA8-E318-4C26-BE66-CFFB7784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18</xdr:row>
      <xdr:rowOff>47531</xdr:rowOff>
    </xdr:from>
    <xdr:to>
      <xdr:col>2</xdr:col>
      <xdr:colOff>1676087</xdr:colOff>
      <xdr:row>19</xdr:row>
      <xdr:rowOff>171451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D90626C-D245-412A-9A6F-651165FF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3476531"/>
          <a:ext cx="799787" cy="31442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20</xdr:row>
      <xdr:rowOff>28141</xdr:rowOff>
    </xdr:from>
    <xdr:to>
      <xdr:col>2</xdr:col>
      <xdr:colOff>1799911</xdr:colOff>
      <xdr:row>20</xdr:row>
      <xdr:rowOff>178680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E5B8605-6478-4BB8-A882-AF7783CB8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3838141"/>
          <a:ext cx="942661" cy="150539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602AEF6-C63D-4397-AC67-3CA4264CC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273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02B8E62-F309-442E-B1AE-35AC3884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5109E4B-09C7-4FA6-98FF-F2E67AF76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31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7739409-8D6B-406E-A958-8D719C4F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04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EF14933-A466-4A93-9096-2E2CF33C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490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917427</xdr:colOff>
      <xdr:row>28</xdr:row>
      <xdr:rowOff>28575</xdr:rowOff>
    </xdr:from>
    <xdr:to>
      <xdr:col>2</xdr:col>
      <xdr:colOff>1742758</xdr:colOff>
      <xdr:row>29</xdr:row>
      <xdr:rowOff>171322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A8C2726-CE2A-4C7A-B906-DC518108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752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CAD1B2A-A3DA-4303-A1BE-5A8B788A0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E9D8672-2C66-4008-AEB7-37CBC0BFC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68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AA9FFDD-3437-45F1-9A5D-F0E2B371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0790117-5E42-4746-A1C4-D5405B205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471F05-BB06-4D1B-937E-7F1C5782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27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414FB56-0577-4D11-A681-5B23B8DA6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84D83DC-DAA3-4053-8073-935154ABF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25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E872A3B-BCB1-4EF7-86B8-2B5D674EF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C725BC3-58A6-4CA7-8857-DBE57C84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1765603-6C91-4492-B70B-ADB2FE794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66E3101-949F-4156-80F9-9560D193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38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31C227A-766E-4913-BEDA-FFB0DAFF4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830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CF2AFD0-630F-463A-A780-4E2AD4C8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779" y="10182225"/>
          <a:ext cx="472247" cy="247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E907A-F309-45F4-801A-F83B4360D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44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7851F8-FC9F-4AEA-B269-FDA3DF68F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08B58C-DE60-4233-8667-B0748AD1B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013459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E3B9AF-A560-4EA1-B0FE-DC1CE653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4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4DA92D-81E7-4CC4-A7FC-6E003FFDB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9ECD1C-DA31-45D5-8957-30D1B1D4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66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7E0F47-B467-4DD8-A3B6-518AFAC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39337D-A813-45C1-9E18-10D1EB8E8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B9BA8E-E186-479D-8D82-CF014944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64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45647F9-3EEC-4EA4-A92A-96329B1F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4344DE-F802-4140-8F24-53B3DFBCC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4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95CA41-DE57-44EB-8987-640377842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18</xdr:row>
      <xdr:rowOff>47531</xdr:rowOff>
    </xdr:from>
    <xdr:to>
      <xdr:col>2</xdr:col>
      <xdr:colOff>1676087</xdr:colOff>
      <xdr:row>19</xdr:row>
      <xdr:rowOff>171451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D4B0C7-D8AF-4B7B-8140-45A612169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5" y="3476531"/>
          <a:ext cx="799787" cy="31442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20</xdr:row>
      <xdr:rowOff>28141</xdr:rowOff>
    </xdr:from>
    <xdr:to>
      <xdr:col>2</xdr:col>
      <xdr:colOff>1799911</xdr:colOff>
      <xdr:row>20</xdr:row>
      <xdr:rowOff>178680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AF4E77-23A2-434C-A608-F4031E508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3838141"/>
          <a:ext cx="942661" cy="150539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EC22A7-56E7-4F66-9D50-2B68AA75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273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C355945-1125-4230-BA1A-B2B334FA3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65981CB-9ECB-4075-BD28-5825D4368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31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93A5F0-67B1-4247-8187-26B8E2C9A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04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77C367C-EECD-455C-8541-485174A7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490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917427</xdr:colOff>
      <xdr:row>28</xdr:row>
      <xdr:rowOff>28575</xdr:rowOff>
    </xdr:from>
    <xdr:to>
      <xdr:col>2</xdr:col>
      <xdr:colOff>1742758</xdr:colOff>
      <xdr:row>29</xdr:row>
      <xdr:rowOff>171322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47912EE-13FC-46D7-8CB4-AA0586610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752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0DD522-98F0-4995-AE6A-7291C5AC3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A9D686D-2F28-4748-9EA7-FA3724D2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68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4510A4-0499-4E34-8B97-15BAB5F2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C0687D9-AC9A-471B-852B-D9C59E36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D27C51F-9E70-49B3-A774-385DB1F64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927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1AF4F53-C422-4978-A1C5-E9B01A91C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53FEE8-5D4B-4DD7-801A-A03B07D1B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25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438EF5B-679A-4809-9F06-2A3D0E37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45F0385-2704-4EA1-8523-C4F4B086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035D235-88F1-4474-ACE5-318C48FF3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6BFA9B4-A271-4EEE-B8D3-98683EFD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38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ADA2E96-9B97-47AF-8033-E247ED641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830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A94BA24-A0C5-46D9-B4F1-E3C792B4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779" y="10182225"/>
          <a:ext cx="472247" cy="247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621119</xdr:colOff>
      <xdr:row>1</xdr:row>
      <xdr:rowOff>9526</xdr:rowOff>
    </xdr:from>
    <xdr:to>
      <xdr:col>2</xdr:col>
      <xdr:colOff>1603899</xdr:colOff>
      <xdr:row>1</xdr:row>
      <xdr:rowOff>180976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623CC4F-FA56-4DE1-B42F-BAA56EB91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694" y="200026"/>
          <a:ext cx="982780" cy="1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34651</xdr:rowOff>
    </xdr:from>
    <xdr:to>
      <xdr:col>2</xdr:col>
      <xdr:colOff>1647824</xdr:colOff>
      <xdr:row>3</xdr:row>
      <xdr:rowOff>161203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C587AA2-019D-44E5-9097-918A76094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415651"/>
          <a:ext cx="1076324" cy="317052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4</xdr:row>
      <xdr:rowOff>18993</xdr:rowOff>
    </xdr:from>
    <xdr:to>
      <xdr:col>2</xdr:col>
      <xdr:colOff>1609405</xdr:colOff>
      <xdr:row>4</xdr:row>
      <xdr:rowOff>186121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8657A3A-33B9-451E-BA10-8AA23A3BE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7943849" y="780993"/>
          <a:ext cx="933131" cy="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885824</xdr:colOff>
      <xdr:row>5</xdr:row>
      <xdr:rowOff>49706</xdr:rowOff>
    </xdr:from>
    <xdr:to>
      <xdr:col>2</xdr:col>
      <xdr:colOff>1495179</xdr:colOff>
      <xdr:row>6</xdr:row>
      <xdr:rowOff>157967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99A44B4-2D05-4E8B-80D4-BBD3D2F3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399" y="1002206"/>
          <a:ext cx="609355" cy="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179142</xdr:rowOff>
    </xdr:from>
    <xdr:to>
      <xdr:col>2</xdr:col>
      <xdr:colOff>2085448</xdr:colOff>
      <xdr:row>7</xdr:row>
      <xdr:rowOff>180913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DCBBBAE-5838-4C87-9268-0B253584E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6675" y="1322142"/>
          <a:ext cx="1666348" cy="192271"/>
        </a:xfrm>
        <a:prstGeom prst="rect">
          <a:avLst/>
        </a:prstGeom>
      </xdr:spPr>
    </xdr:pic>
    <xdr:clientData/>
  </xdr:twoCellAnchor>
  <xdr:twoCellAnchor editAs="oneCell">
    <xdr:from>
      <xdr:col>2</xdr:col>
      <xdr:colOff>755343</xdr:colOff>
      <xdr:row>7</xdr:row>
      <xdr:rowOff>179892</xdr:rowOff>
    </xdr:from>
    <xdr:to>
      <xdr:col>2</xdr:col>
      <xdr:colOff>1599948</xdr:colOff>
      <xdr:row>9</xdr:row>
      <xdr:rowOff>19050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324FDC5-82A7-41AD-B664-09E3269D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918" y="1513392"/>
          <a:ext cx="844605" cy="22015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8</xdr:row>
      <xdr:rowOff>171450</xdr:rowOff>
    </xdr:from>
    <xdr:to>
      <xdr:col>2</xdr:col>
      <xdr:colOff>1609477</xdr:colOff>
      <xdr:row>10</xdr:row>
      <xdr:rowOff>186530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396CF75-F4F0-4042-8A92-728DC614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1695450"/>
          <a:ext cx="799852" cy="396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11</xdr:row>
      <xdr:rowOff>0</xdr:rowOff>
    </xdr:from>
    <xdr:to>
      <xdr:col>2</xdr:col>
      <xdr:colOff>1714499</xdr:colOff>
      <xdr:row>12</xdr:row>
      <xdr:rowOff>147376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2D1ECED-EC7C-4E8C-934A-54B84DC76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2095500"/>
          <a:ext cx="942974" cy="337876"/>
        </a:xfrm>
        <a:prstGeom prst="rect">
          <a:avLst/>
        </a:prstGeom>
      </xdr:spPr>
    </xdr:pic>
    <xdr:clientData/>
  </xdr:twoCellAnchor>
  <xdr:twoCellAnchor editAs="oneCell">
    <xdr:from>
      <xdr:col>2</xdr:col>
      <xdr:colOff>846319</xdr:colOff>
      <xdr:row>13</xdr:row>
      <xdr:rowOff>9525</xdr:rowOff>
    </xdr:from>
    <xdr:to>
      <xdr:col>2</xdr:col>
      <xdr:colOff>1590423</xdr:colOff>
      <xdr:row>14</xdr:row>
      <xdr:rowOff>9459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5CCDFFE-1875-44DE-85C6-8FA2F019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894" y="2486025"/>
          <a:ext cx="744104" cy="190434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174026</xdr:rowOff>
    </xdr:from>
    <xdr:to>
      <xdr:col>2</xdr:col>
      <xdr:colOff>1533204</xdr:colOff>
      <xdr:row>15</xdr:row>
      <xdr:rowOff>184735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91EFBD9-B3A1-4F65-B0BF-8EC635C2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2650526"/>
          <a:ext cx="656904" cy="391709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15</xdr:row>
      <xdr:rowOff>168071</xdr:rowOff>
    </xdr:from>
    <xdr:to>
      <xdr:col>2</xdr:col>
      <xdr:colOff>1571307</xdr:colOff>
      <xdr:row>16</xdr:row>
      <xdr:rowOff>171449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8D5D62E-A99B-427D-BF51-78CD0BCB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299" y="3025571"/>
          <a:ext cx="723583" cy="193878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17</xdr:row>
      <xdr:rowOff>4923</xdr:rowOff>
    </xdr:from>
    <xdr:to>
      <xdr:col>2</xdr:col>
      <xdr:colOff>1799906</xdr:colOff>
      <xdr:row>17</xdr:row>
      <xdr:rowOff>180919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43B15ED-EBF1-45C4-84D2-FCB223BF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4" y="3243423"/>
          <a:ext cx="999807" cy="175996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18</xdr:row>
      <xdr:rowOff>47531</xdr:rowOff>
    </xdr:from>
    <xdr:to>
      <xdr:col>2</xdr:col>
      <xdr:colOff>1676087</xdr:colOff>
      <xdr:row>19</xdr:row>
      <xdr:rowOff>171451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589FFD5-E4A7-4378-8CCB-6F39DED2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3476531"/>
          <a:ext cx="799787" cy="31442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20</xdr:row>
      <xdr:rowOff>28141</xdr:rowOff>
    </xdr:from>
    <xdr:to>
      <xdr:col>2</xdr:col>
      <xdr:colOff>1799911</xdr:colOff>
      <xdr:row>20</xdr:row>
      <xdr:rowOff>178680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2624822-C806-4C99-AEE0-A9AB5E1E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3838141"/>
          <a:ext cx="942661" cy="150539"/>
        </a:xfrm>
        <a:prstGeom prst="rect">
          <a:avLst/>
        </a:prstGeom>
      </xdr:spPr>
    </xdr:pic>
    <xdr:clientData/>
  </xdr:twoCellAnchor>
  <xdr:twoCellAnchor editAs="oneCell">
    <xdr:from>
      <xdr:col>2</xdr:col>
      <xdr:colOff>884405</xdr:colOff>
      <xdr:row>21</xdr:row>
      <xdr:rowOff>47624</xdr:rowOff>
    </xdr:from>
    <xdr:to>
      <xdr:col>2</xdr:col>
      <xdr:colOff>1809438</xdr:colOff>
      <xdr:row>21</xdr:row>
      <xdr:rowOff>161925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5FCC383-8559-468C-A109-C015781B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1980" y="4048124"/>
          <a:ext cx="925033" cy="114301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21</xdr:row>
      <xdr:rowOff>180974</xdr:rowOff>
    </xdr:from>
    <xdr:to>
      <xdr:col>2</xdr:col>
      <xdr:colOff>1381013</xdr:colOff>
      <xdr:row>23</xdr:row>
      <xdr:rowOff>175331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6D3E11F-D412-4E93-9B08-88B2895D3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4181474"/>
          <a:ext cx="371363" cy="375357"/>
        </a:xfrm>
        <a:prstGeom prst="rect">
          <a:avLst/>
        </a:prstGeom>
      </xdr:spPr>
    </xdr:pic>
    <xdr:clientData/>
  </xdr:twoCellAnchor>
  <xdr:twoCellAnchor editAs="oneCell">
    <xdr:from>
      <xdr:col>2</xdr:col>
      <xdr:colOff>944987</xdr:colOff>
      <xdr:row>24</xdr:row>
      <xdr:rowOff>0</xdr:rowOff>
    </xdr:from>
    <xdr:to>
      <xdr:col>2</xdr:col>
      <xdr:colOff>1666619</xdr:colOff>
      <xdr:row>25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3B7B6FD-6079-400E-81F9-76F420A3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2562" y="4572000"/>
          <a:ext cx="721632" cy="35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1016717</xdr:colOff>
      <xdr:row>25</xdr:row>
      <xdr:rowOff>180975</xdr:rowOff>
    </xdr:from>
    <xdr:to>
      <xdr:col>2</xdr:col>
      <xdr:colOff>1571446</xdr:colOff>
      <xdr:row>26</xdr:row>
      <xdr:rowOff>183701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17A6FFB-C1EC-4077-B725-4188F32A6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292" y="4943475"/>
          <a:ext cx="554729" cy="193226"/>
        </a:xfrm>
        <a:prstGeom prst="rect">
          <a:avLst/>
        </a:prstGeom>
      </xdr:spPr>
    </xdr:pic>
    <xdr:clientData/>
  </xdr:twoCellAnchor>
  <xdr:twoCellAnchor editAs="oneCell">
    <xdr:from>
      <xdr:col>2</xdr:col>
      <xdr:colOff>1016579</xdr:colOff>
      <xdr:row>26</xdr:row>
      <xdr:rowOff>180975</xdr:rowOff>
    </xdr:from>
    <xdr:to>
      <xdr:col>2</xdr:col>
      <xdr:colOff>1561921</xdr:colOff>
      <xdr:row>27</xdr:row>
      <xdr:rowOff>190434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1714A6A-32A4-4694-BC49-F268F258E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154" y="5133975"/>
          <a:ext cx="545342" cy="199959"/>
        </a:xfrm>
        <a:prstGeom prst="rect">
          <a:avLst/>
        </a:prstGeom>
      </xdr:spPr>
    </xdr:pic>
    <xdr:clientData/>
  </xdr:twoCellAnchor>
  <xdr:twoCellAnchor editAs="oneCell">
    <xdr:from>
      <xdr:col>2</xdr:col>
      <xdr:colOff>879327</xdr:colOff>
      <xdr:row>28</xdr:row>
      <xdr:rowOff>28575</xdr:rowOff>
    </xdr:from>
    <xdr:to>
      <xdr:col>2</xdr:col>
      <xdr:colOff>1704658</xdr:colOff>
      <xdr:row>29</xdr:row>
      <xdr:rowOff>171322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4B518D1-06F4-408D-92B4-ACE8CC8CE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8477" y="5362575"/>
          <a:ext cx="825331" cy="333247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30</xdr:row>
      <xdr:rowOff>28575</xdr:rowOff>
    </xdr:from>
    <xdr:to>
      <xdr:col>2</xdr:col>
      <xdr:colOff>1695450</xdr:colOff>
      <xdr:row>31</xdr:row>
      <xdr:rowOff>114173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7EE9057-6F0D-47FE-AE35-C18D5DC8A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5" y="5743575"/>
          <a:ext cx="895350" cy="276098"/>
        </a:xfrm>
        <a:prstGeom prst="rect">
          <a:avLst/>
        </a:prstGeom>
      </xdr:spPr>
    </xdr:pic>
    <xdr:clientData/>
  </xdr:twoCellAnchor>
  <xdr:twoCellAnchor editAs="oneCell">
    <xdr:from>
      <xdr:col>2</xdr:col>
      <xdr:colOff>923363</xdr:colOff>
      <xdr:row>32</xdr:row>
      <xdr:rowOff>19050</xdr:rowOff>
    </xdr:from>
    <xdr:to>
      <xdr:col>2</xdr:col>
      <xdr:colOff>1609474</xdr:colOff>
      <xdr:row>33</xdr:row>
      <xdr:rowOff>161804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7EC4C67-AC9B-4E15-8BC4-929616DFA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0938" y="6115050"/>
          <a:ext cx="686111" cy="333254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34</xdr:row>
      <xdr:rowOff>9525</xdr:rowOff>
    </xdr:from>
    <xdr:to>
      <xdr:col>2</xdr:col>
      <xdr:colOff>1866511</xdr:colOff>
      <xdr:row>35</xdr:row>
      <xdr:rowOff>169156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0C8226E-729C-40DF-B1D3-3A8D88F60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75" y="6486525"/>
          <a:ext cx="1028311" cy="350131"/>
        </a:xfrm>
        <a:prstGeom prst="rect">
          <a:avLst/>
        </a:prstGeom>
      </xdr:spPr>
    </xdr:pic>
    <xdr:clientData/>
  </xdr:twoCellAnchor>
  <xdr:twoCellAnchor editAs="oneCell">
    <xdr:from>
      <xdr:col>2</xdr:col>
      <xdr:colOff>1095375</xdr:colOff>
      <xdr:row>35</xdr:row>
      <xdr:rowOff>173135</xdr:rowOff>
    </xdr:from>
    <xdr:to>
      <xdr:col>2</xdr:col>
      <xdr:colOff>1485764</xdr:colOff>
      <xdr:row>37</xdr:row>
      <xdr:rowOff>127248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C532DBD-C53F-434B-A5AA-C2A283522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6840635"/>
          <a:ext cx="390389" cy="335113"/>
        </a:xfrm>
        <a:prstGeom prst="rect">
          <a:avLst/>
        </a:prstGeom>
      </xdr:spPr>
    </xdr:pic>
    <xdr:clientData/>
  </xdr:twoCellAnchor>
  <xdr:twoCellAnchor editAs="oneCell">
    <xdr:from>
      <xdr:col>2</xdr:col>
      <xdr:colOff>940948</xdr:colOff>
      <xdr:row>38</xdr:row>
      <xdr:rowOff>47625</xdr:rowOff>
    </xdr:from>
    <xdr:to>
      <xdr:col>2</xdr:col>
      <xdr:colOff>1704802</xdr:colOff>
      <xdr:row>39</xdr:row>
      <xdr:rowOff>104719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1465FC5-3ED8-40A6-8686-37457DD86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8523" y="7286625"/>
          <a:ext cx="763854" cy="247594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40</xdr:row>
      <xdr:rowOff>47625</xdr:rowOff>
    </xdr:from>
    <xdr:to>
      <xdr:col>2</xdr:col>
      <xdr:colOff>1542866</xdr:colOff>
      <xdr:row>41</xdr:row>
      <xdr:rowOff>175533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B35C085-8F1C-41A7-89A0-6DCFEB4C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7667625"/>
          <a:ext cx="476066" cy="318408"/>
        </a:xfrm>
        <a:prstGeom prst="rect">
          <a:avLst/>
        </a:prstGeom>
      </xdr:spPr>
    </xdr:pic>
    <xdr:clientData/>
  </xdr:twoCellAnchor>
  <xdr:twoCellAnchor editAs="oneCell">
    <xdr:from>
      <xdr:col>2</xdr:col>
      <xdr:colOff>1094925</xdr:colOff>
      <xdr:row>42</xdr:row>
      <xdr:rowOff>19050</xdr:rowOff>
    </xdr:from>
    <xdr:to>
      <xdr:col>2</xdr:col>
      <xdr:colOff>1552380</xdr:colOff>
      <xdr:row>43</xdr:row>
      <xdr:rowOff>142875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F5D0F0D-E5C5-44BC-8985-D11C4C77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500" y="8020050"/>
          <a:ext cx="457455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1009649</xdr:colOff>
      <xdr:row>44</xdr:row>
      <xdr:rowOff>22383</xdr:rowOff>
    </xdr:from>
    <xdr:to>
      <xdr:col>2</xdr:col>
      <xdr:colOff>1733286</xdr:colOff>
      <xdr:row>45</xdr:row>
      <xdr:rowOff>183834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E202ADE-0A15-4A81-B12E-E39E9E09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4" y="8404383"/>
          <a:ext cx="723637" cy="35195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46</xdr:row>
      <xdr:rowOff>4424</xdr:rowOff>
    </xdr:from>
    <xdr:to>
      <xdr:col>2</xdr:col>
      <xdr:colOff>1733298</xdr:colOff>
      <xdr:row>47</xdr:row>
      <xdr:rowOff>182248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CE8FAEF-58E7-4993-90E0-22CB27E59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8767424"/>
          <a:ext cx="733173" cy="368324"/>
        </a:xfrm>
        <a:prstGeom prst="rect">
          <a:avLst/>
        </a:prstGeom>
      </xdr:spPr>
    </xdr:pic>
    <xdr:clientData/>
  </xdr:twoCellAnchor>
  <xdr:twoCellAnchor editAs="oneCell">
    <xdr:from>
      <xdr:col>2</xdr:col>
      <xdr:colOff>1266825</xdr:colOff>
      <xdr:row>47</xdr:row>
      <xdr:rowOff>170904</xdr:rowOff>
    </xdr:from>
    <xdr:to>
      <xdr:col>2</xdr:col>
      <xdr:colOff>1581030</xdr:colOff>
      <xdr:row>49</xdr:row>
      <xdr:rowOff>16330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6B4FD37-1E4B-4A61-AD6D-BB0AC3CC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9124404"/>
          <a:ext cx="314205" cy="2264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1111059</xdr:colOff>
      <xdr:row>49</xdr:row>
      <xdr:rowOff>9525</xdr:rowOff>
    </xdr:from>
    <xdr:to>
      <xdr:col>2</xdr:col>
      <xdr:colOff>1666684</xdr:colOff>
      <xdr:row>50</xdr:row>
      <xdr:rowOff>152400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6CF5599-664E-4F85-961D-7ED143EB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634" y="9344025"/>
          <a:ext cx="555625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969979</xdr:colOff>
      <xdr:row>51</xdr:row>
      <xdr:rowOff>19050</xdr:rowOff>
    </xdr:from>
    <xdr:to>
      <xdr:col>2</xdr:col>
      <xdr:colOff>1885613</xdr:colOff>
      <xdr:row>52</xdr:row>
      <xdr:rowOff>161802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13DF029-3797-47DF-8AC9-D3917127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7554" y="9734550"/>
          <a:ext cx="915634" cy="333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1175454</xdr:colOff>
      <xdr:row>53</xdr:row>
      <xdr:rowOff>85725</xdr:rowOff>
    </xdr:from>
    <xdr:to>
      <xdr:col>2</xdr:col>
      <xdr:colOff>1647701</xdr:colOff>
      <xdr:row>54</xdr:row>
      <xdr:rowOff>142811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CD1DF7C-35C3-4481-BB6F-49D4B1AD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029" y="10182225"/>
          <a:ext cx="472247" cy="247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5472-E504-4973-BC88-415221B5B6C7}">
  <dimension ref="A1:G55"/>
  <sheetViews>
    <sheetView workbookViewId="0">
      <selection activeCell="H19" sqref="H19"/>
    </sheetView>
  </sheetViews>
  <sheetFormatPr defaultRowHeight="15" x14ac:dyDescent="0.25"/>
  <cols>
    <col min="1" max="1" width="8" customWidth="1"/>
    <col min="2" max="2" width="110.28515625" customWidth="1"/>
    <col min="3" max="3" width="49.5703125" customWidth="1"/>
    <col min="4" max="4" width="9.140625" customWidth="1"/>
  </cols>
  <sheetData>
    <row r="1" spans="1:7" x14ac:dyDescent="0.25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  <c r="F1" s="1" t="s">
        <v>39</v>
      </c>
    </row>
    <row r="2" spans="1:7" x14ac:dyDescent="0.25">
      <c r="A2" t="s">
        <v>6</v>
      </c>
      <c r="B2" t="s">
        <v>40</v>
      </c>
      <c r="C2" s="2"/>
      <c r="D2" s="1">
        <f>1/E2</f>
        <v>0.45454545454545453</v>
      </c>
      <c r="E2" s="1">
        <v>2.2000000000000002</v>
      </c>
      <c r="F2" s="1">
        <v>0.4</v>
      </c>
      <c r="G2" s="1"/>
    </row>
    <row r="3" spans="1:7" x14ac:dyDescent="0.25">
      <c r="A3" s="6" t="s">
        <v>7</v>
      </c>
      <c r="B3" s="3" t="s">
        <v>41</v>
      </c>
      <c r="C3" s="3"/>
      <c r="D3" s="4">
        <f>1/0.3</f>
        <v>3.3333333333333335</v>
      </c>
      <c r="E3" s="5">
        <v>0.3</v>
      </c>
      <c r="F3" s="5">
        <v>0.1</v>
      </c>
      <c r="G3" s="7"/>
    </row>
    <row r="4" spans="1:7" x14ac:dyDescent="0.25">
      <c r="A4" s="6"/>
      <c r="B4" s="3"/>
      <c r="C4" s="3"/>
      <c r="D4" s="4"/>
      <c r="E4" s="5"/>
      <c r="F4" s="5"/>
      <c r="G4" s="7"/>
    </row>
    <row r="5" spans="1:7" x14ac:dyDescent="0.25">
      <c r="A5" t="s">
        <v>8</v>
      </c>
      <c r="B5" t="s">
        <v>42</v>
      </c>
      <c r="C5" s="2"/>
      <c r="D5" s="1">
        <f>1/0.7</f>
        <v>1.4285714285714286</v>
      </c>
      <c r="E5" s="1">
        <v>0.7</v>
      </c>
      <c r="F5" s="1">
        <v>0.1</v>
      </c>
      <c r="G5" s="1"/>
    </row>
    <row r="6" spans="1:7" x14ac:dyDescent="0.25">
      <c r="A6" s="8" t="s">
        <v>9</v>
      </c>
      <c r="B6" s="3" t="s">
        <v>43</v>
      </c>
      <c r="C6" s="3"/>
      <c r="D6" s="7">
        <f>1/E6</f>
        <v>2.5</v>
      </c>
      <c r="E6" s="7">
        <v>0.4</v>
      </c>
      <c r="F6" s="7">
        <v>0.1</v>
      </c>
      <c r="G6" s="1"/>
    </row>
    <row r="7" spans="1:7" x14ac:dyDescent="0.25">
      <c r="A7" s="8"/>
      <c r="B7" s="3"/>
      <c r="C7" s="3"/>
      <c r="D7" s="7"/>
      <c r="E7" s="7"/>
      <c r="F7" s="7"/>
      <c r="G7" s="1"/>
    </row>
    <row r="8" spans="1:7" x14ac:dyDescent="0.25">
      <c r="A8" t="s">
        <v>10</v>
      </c>
      <c r="B8" t="s">
        <v>44</v>
      </c>
      <c r="C8" s="2"/>
      <c r="D8" s="1">
        <f>1/E8</f>
        <v>0.76923076923076916</v>
      </c>
      <c r="E8" s="1">
        <v>1.3</v>
      </c>
      <c r="F8" s="1">
        <v>0.1</v>
      </c>
      <c r="G8" s="1"/>
    </row>
    <row r="9" spans="1:7" x14ac:dyDescent="0.25">
      <c r="A9" t="s">
        <v>11</v>
      </c>
      <c r="B9" t="s">
        <v>45</v>
      </c>
      <c r="C9" s="2"/>
      <c r="D9" s="1">
        <f>1/E9</f>
        <v>0.83333333333333337</v>
      </c>
      <c r="E9" s="1">
        <v>1.2</v>
      </c>
      <c r="F9" s="1">
        <v>0.1</v>
      </c>
      <c r="G9" s="1"/>
    </row>
    <row r="10" spans="1:7" x14ac:dyDescent="0.25">
      <c r="A10" s="6" t="s">
        <v>12</v>
      </c>
      <c r="B10" s="6" t="s">
        <v>46</v>
      </c>
      <c r="C10" s="3"/>
      <c r="D10" s="5">
        <f>1/E10</f>
        <v>1.4285714285714286</v>
      </c>
      <c r="E10" s="5">
        <v>0.7</v>
      </c>
      <c r="F10" s="5">
        <v>0.1</v>
      </c>
      <c r="G10" s="1"/>
    </row>
    <row r="11" spans="1:7" x14ac:dyDescent="0.25">
      <c r="A11" s="6"/>
      <c r="B11" s="6"/>
      <c r="C11" s="3"/>
      <c r="D11" s="5"/>
      <c r="E11" s="5"/>
      <c r="F11" s="5"/>
      <c r="G11" s="1"/>
    </row>
    <row r="12" spans="1:7" x14ac:dyDescent="0.25">
      <c r="A12" s="8" t="s">
        <v>13</v>
      </c>
      <c r="B12" s="8" t="s">
        <v>47</v>
      </c>
      <c r="C12" s="3"/>
      <c r="D12" s="5">
        <f>1/E12</f>
        <v>0.33333333333333331</v>
      </c>
      <c r="E12" s="5">
        <v>3</v>
      </c>
      <c r="F12" s="5">
        <v>0.2</v>
      </c>
      <c r="G12" s="1"/>
    </row>
    <row r="13" spans="1:7" x14ac:dyDescent="0.25">
      <c r="A13" s="8"/>
      <c r="B13" s="8"/>
      <c r="C13" s="3"/>
      <c r="D13" s="5"/>
      <c r="E13" s="5"/>
      <c r="F13" s="5"/>
      <c r="G13" s="1"/>
    </row>
    <row r="14" spans="1:7" x14ac:dyDescent="0.25">
      <c r="A14" t="s">
        <v>14</v>
      </c>
      <c r="B14" t="s">
        <v>48</v>
      </c>
      <c r="C14" s="2"/>
      <c r="D14" s="1">
        <f>1/E14</f>
        <v>0.18867924528301888</v>
      </c>
      <c r="E14" s="1">
        <v>5.3</v>
      </c>
      <c r="F14" s="1">
        <v>0.9</v>
      </c>
      <c r="G14" s="1"/>
    </row>
    <row r="15" spans="1:7" x14ac:dyDescent="0.25">
      <c r="A15" s="3" t="s">
        <v>15</v>
      </c>
      <c r="B15" s="3" t="s">
        <v>49</v>
      </c>
      <c r="C15" s="3"/>
      <c r="D15" s="5">
        <f>1/E15</f>
        <v>0.83333333333333337</v>
      </c>
      <c r="E15" s="5">
        <v>1.2</v>
      </c>
      <c r="F15" s="5">
        <v>0.1</v>
      </c>
      <c r="G15" s="1"/>
    </row>
    <row r="16" spans="1:7" x14ac:dyDescent="0.25">
      <c r="A16" s="3"/>
      <c r="B16" s="3"/>
      <c r="C16" s="3"/>
      <c r="D16" s="5"/>
      <c r="E16" s="5"/>
      <c r="F16" s="5"/>
      <c r="G16" s="1"/>
    </row>
    <row r="17" spans="1:7" x14ac:dyDescent="0.25">
      <c r="A17" t="s">
        <v>16</v>
      </c>
      <c r="B17" t="s">
        <v>50</v>
      </c>
      <c r="C17" s="2"/>
      <c r="D17" s="1">
        <f>1/E17</f>
        <v>0.5</v>
      </c>
      <c r="E17" s="1">
        <v>2</v>
      </c>
      <c r="F17" s="1">
        <v>0.1</v>
      </c>
      <c r="G17" s="1"/>
    </row>
    <row r="18" spans="1:7" x14ac:dyDescent="0.25">
      <c r="A18" t="s">
        <v>17</v>
      </c>
      <c r="B18" t="s">
        <v>51</v>
      </c>
      <c r="C18" s="2"/>
      <c r="D18" s="1">
        <f>1/E18</f>
        <v>1.1111111111111112</v>
      </c>
      <c r="E18" s="1">
        <v>0.9</v>
      </c>
      <c r="F18" s="1">
        <v>0.1</v>
      </c>
      <c r="G18" s="1"/>
    </row>
    <row r="19" spans="1:7" x14ac:dyDescent="0.25">
      <c r="A19" s="9" t="s">
        <v>18</v>
      </c>
      <c r="B19" s="9" t="s">
        <v>52</v>
      </c>
      <c r="C19" s="3"/>
      <c r="D19" s="5">
        <f>1/E19</f>
        <v>5</v>
      </c>
      <c r="E19" s="5">
        <v>0.2</v>
      </c>
      <c r="F19" s="5">
        <v>0.1</v>
      </c>
      <c r="G19" s="1"/>
    </row>
    <row r="20" spans="1:7" x14ac:dyDescent="0.25">
      <c r="A20" s="9"/>
      <c r="B20" s="9"/>
      <c r="C20" s="3"/>
      <c r="D20" s="5"/>
      <c r="E20" s="5"/>
      <c r="F20" s="5"/>
      <c r="G20" s="1"/>
    </row>
    <row r="21" spans="1:7" x14ac:dyDescent="0.25">
      <c r="A21" t="s">
        <v>19</v>
      </c>
      <c r="B21" t="s">
        <v>53</v>
      </c>
      <c r="C21" s="2"/>
      <c r="D21" s="1">
        <f>1/E21</f>
        <v>5</v>
      </c>
      <c r="E21" s="1">
        <v>0.2</v>
      </c>
      <c r="F21" s="1">
        <v>0.1</v>
      </c>
      <c r="G21" s="1"/>
    </row>
    <row r="22" spans="1:7" x14ac:dyDescent="0.25">
      <c r="A22" t="s">
        <v>20</v>
      </c>
      <c r="B22" t="s">
        <v>54</v>
      </c>
      <c r="C22" s="2"/>
      <c r="D22" s="1">
        <f>1/E22</f>
        <v>5</v>
      </c>
      <c r="E22" s="1">
        <v>0.2</v>
      </c>
      <c r="F22" s="1">
        <v>0.1</v>
      </c>
      <c r="G22" s="1"/>
    </row>
    <row r="23" spans="1:7" x14ac:dyDescent="0.25">
      <c r="A23" s="10" t="s">
        <v>21</v>
      </c>
      <c r="B23" s="10" t="s">
        <v>55</v>
      </c>
      <c r="C23" s="3"/>
      <c r="D23" s="7">
        <f>1/E23</f>
        <v>1</v>
      </c>
      <c r="E23" s="7">
        <v>1</v>
      </c>
      <c r="F23" s="7">
        <v>0.1</v>
      </c>
      <c r="G23" s="1"/>
    </row>
    <row r="24" spans="1:7" x14ac:dyDescent="0.25">
      <c r="A24" s="10"/>
      <c r="B24" s="10"/>
      <c r="C24" s="3"/>
      <c r="D24" s="7"/>
      <c r="E24" s="7"/>
      <c r="F24" s="7"/>
      <c r="G24" s="1"/>
    </row>
    <row r="25" spans="1:7" x14ac:dyDescent="0.25">
      <c r="A25" s="10" t="s">
        <v>22</v>
      </c>
      <c r="B25" s="10" t="s">
        <v>56</v>
      </c>
      <c r="C25" s="3"/>
      <c r="D25" s="7">
        <f>1/E25</f>
        <v>1.4285714285714286</v>
      </c>
      <c r="E25" s="7">
        <v>0.7</v>
      </c>
      <c r="F25" s="7">
        <v>1.1000000000000001</v>
      </c>
      <c r="G25" s="1"/>
    </row>
    <row r="26" spans="1:7" x14ac:dyDescent="0.25">
      <c r="A26" s="10"/>
      <c r="B26" s="10"/>
      <c r="C26" s="3"/>
      <c r="D26" s="7"/>
      <c r="E26" s="7"/>
      <c r="F26" s="7"/>
      <c r="G26" s="1"/>
    </row>
    <row r="27" spans="1:7" x14ac:dyDescent="0.25">
      <c r="A27" t="s">
        <v>23</v>
      </c>
      <c r="B27" t="s">
        <v>57</v>
      </c>
      <c r="C27" s="2"/>
      <c r="D27" s="1">
        <f>1/E27</f>
        <v>1.1111111111111112</v>
      </c>
      <c r="E27" s="1">
        <v>0.9</v>
      </c>
      <c r="F27" s="1">
        <v>0.1</v>
      </c>
      <c r="G27" s="1"/>
    </row>
    <row r="28" spans="1:7" x14ac:dyDescent="0.25">
      <c r="A28" t="s">
        <v>24</v>
      </c>
      <c r="B28" t="s">
        <v>58</v>
      </c>
      <c r="C28" s="2"/>
      <c r="D28" s="1">
        <f>1/E28</f>
        <v>2.5</v>
      </c>
      <c r="E28" s="1">
        <v>0.4</v>
      </c>
      <c r="F28" s="1">
        <v>0.1</v>
      </c>
      <c r="G28" s="1"/>
    </row>
    <row r="29" spans="1:7" x14ac:dyDescent="0.25">
      <c r="A29" s="3" t="s">
        <v>25</v>
      </c>
      <c r="B29" s="10" t="s">
        <v>59</v>
      </c>
      <c r="C29" s="3"/>
      <c r="D29" s="4">
        <f>1/E29</f>
        <v>5</v>
      </c>
      <c r="E29" s="4">
        <v>0.2</v>
      </c>
      <c r="F29" s="4">
        <v>0.1</v>
      </c>
      <c r="G29" s="1"/>
    </row>
    <row r="30" spans="1:7" x14ac:dyDescent="0.25">
      <c r="A30" s="3"/>
      <c r="B30" s="10"/>
      <c r="C30" s="3"/>
      <c r="D30" s="4"/>
      <c r="E30" s="4"/>
      <c r="F30" s="4"/>
      <c r="G30" s="1"/>
    </row>
    <row r="31" spans="1:7" x14ac:dyDescent="0.25">
      <c r="A31" s="10" t="s">
        <v>26</v>
      </c>
      <c r="B31" s="10" t="s">
        <v>60</v>
      </c>
      <c r="C31" s="3"/>
      <c r="D31" s="4">
        <f t="shared" ref="D31" si="0">1/E31</f>
        <v>1.25</v>
      </c>
      <c r="E31" s="4">
        <v>0.8</v>
      </c>
      <c r="F31" s="4">
        <v>0.1</v>
      </c>
      <c r="G31" s="1"/>
    </row>
    <row r="32" spans="1:7" x14ac:dyDescent="0.25">
      <c r="A32" s="10"/>
      <c r="B32" s="10"/>
      <c r="C32" s="3"/>
      <c r="D32" s="4"/>
      <c r="E32" s="4"/>
      <c r="F32" s="4"/>
      <c r="G32" s="1"/>
    </row>
    <row r="33" spans="1:7" x14ac:dyDescent="0.25">
      <c r="A33" s="9" t="s">
        <v>27</v>
      </c>
      <c r="B33" s="9" t="s">
        <v>61</v>
      </c>
      <c r="C33" s="3"/>
      <c r="D33" s="4">
        <f t="shared" ref="D33" si="1">1/E33</f>
        <v>5</v>
      </c>
      <c r="E33" s="4">
        <v>0.2</v>
      </c>
      <c r="F33" s="4">
        <v>0.1</v>
      </c>
      <c r="G33" s="1"/>
    </row>
    <row r="34" spans="1:7" x14ac:dyDescent="0.25">
      <c r="A34" s="9"/>
      <c r="B34" s="9"/>
      <c r="C34" s="3"/>
      <c r="D34" s="4"/>
      <c r="E34" s="4"/>
      <c r="F34" s="4"/>
      <c r="G34" s="1"/>
    </row>
    <row r="35" spans="1:7" x14ac:dyDescent="0.25">
      <c r="A35" s="10" t="s">
        <v>28</v>
      </c>
      <c r="B35" s="10" t="s">
        <v>62</v>
      </c>
      <c r="C35" s="3"/>
      <c r="D35" s="4">
        <f t="shared" ref="D35" si="2">1/E35</f>
        <v>5</v>
      </c>
      <c r="E35" s="4">
        <v>0.2</v>
      </c>
      <c r="F35" s="4">
        <v>0.1</v>
      </c>
      <c r="G35" s="1"/>
    </row>
    <row r="36" spans="1:7" x14ac:dyDescent="0.25">
      <c r="A36" s="10"/>
      <c r="B36" s="10"/>
      <c r="C36" s="3"/>
      <c r="D36" s="4"/>
      <c r="E36" s="4"/>
      <c r="F36" s="4"/>
    </row>
    <row r="37" spans="1:7" x14ac:dyDescent="0.25">
      <c r="A37" s="10" t="s">
        <v>29</v>
      </c>
      <c r="B37" s="10" t="s">
        <v>63</v>
      </c>
      <c r="C37" s="3"/>
      <c r="D37" s="4">
        <f t="shared" ref="D37" si="3">1/E37</f>
        <v>5</v>
      </c>
      <c r="E37" s="4">
        <v>0.2</v>
      </c>
      <c r="F37" s="4">
        <v>0.1</v>
      </c>
    </row>
    <row r="38" spans="1:7" x14ac:dyDescent="0.25">
      <c r="A38" s="10"/>
      <c r="B38" s="10"/>
      <c r="C38" s="3"/>
      <c r="D38" s="4"/>
      <c r="E38" s="4"/>
      <c r="F38" s="4"/>
    </row>
    <row r="39" spans="1:7" x14ac:dyDescent="0.25">
      <c r="A39" s="10" t="s">
        <v>30</v>
      </c>
      <c r="B39" s="10" t="s">
        <v>64</v>
      </c>
      <c r="C39" s="3"/>
      <c r="D39" s="4">
        <f t="shared" ref="D39" si="4">1/E39</f>
        <v>3.3333333333333335</v>
      </c>
      <c r="E39" s="4">
        <v>0.3</v>
      </c>
      <c r="F39" s="4">
        <v>0.1</v>
      </c>
    </row>
    <row r="40" spans="1:7" x14ac:dyDescent="0.25">
      <c r="A40" s="10"/>
      <c r="B40" s="10"/>
      <c r="C40" s="3"/>
      <c r="D40" s="4"/>
      <c r="E40" s="4"/>
      <c r="F40" s="4"/>
    </row>
    <row r="41" spans="1:7" x14ac:dyDescent="0.25">
      <c r="A41" s="10" t="s">
        <v>31</v>
      </c>
      <c r="B41" s="10" t="s">
        <v>65</v>
      </c>
      <c r="C41" s="3"/>
      <c r="D41" s="4">
        <f t="shared" ref="D41" si="5">1/E41</f>
        <v>5</v>
      </c>
      <c r="E41" s="4">
        <v>0.2</v>
      </c>
      <c r="F41" s="4">
        <v>0.1</v>
      </c>
    </row>
    <row r="42" spans="1:7" x14ac:dyDescent="0.25">
      <c r="A42" s="10"/>
      <c r="B42" s="10"/>
      <c r="C42" s="3"/>
      <c r="D42" s="4"/>
      <c r="E42" s="4"/>
      <c r="F42" s="4"/>
    </row>
    <row r="43" spans="1:7" x14ac:dyDescent="0.25">
      <c r="A43" s="10" t="s">
        <v>32</v>
      </c>
      <c r="B43" s="10" t="s">
        <v>66</v>
      </c>
      <c r="C43" s="3"/>
      <c r="D43" s="4">
        <f t="shared" ref="D43" si="6">1/E43</f>
        <v>5</v>
      </c>
      <c r="E43" s="4">
        <v>0.2</v>
      </c>
      <c r="F43" s="4">
        <v>0.1</v>
      </c>
    </row>
    <row r="44" spans="1:7" x14ac:dyDescent="0.25">
      <c r="A44" s="10"/>
      <c r="B44" s="10"/>
      <c r="C44" s="3"/>
      <c r="D44" s="4"/>
      <c r="E44" s="4"/>
      <c r="F44" s="4"/>
    </row>
    <row r="45" spans="1:7" x14ac:dyDescent="0.25">
      <c r="A45" s="10" t="s">
        <v>33</v>
      </c>
      <c r="B45" s="10" t="s">
        <v>67</v>
      </c>
      <c r="C45" s="3"/>
      <c r="D45" s="4">
        <f t="shared" ref="D45" si="7">1/E45</f>
        <v>2.5</v>
      </c>
      <c r="E45" s="4">
        <v>0.4</v>
      </c>
      <c r="F45" s="4">
        <v>0.1</v>
      </c>
    </row>
    <row r="46" spans="1:7" x14ac:dyDescent="0.25">
      <c r="A46" s="10"/>
      <c r="B46" s="10"/>
      <c r="C46" s="3"/>
      <c r="D46" s="4"/>
      <c r="E46" s="4"/>
      <c r="F46" s="4"/>
    </row>
    <row r="47" spans="1:7" x14ac:dyDescent="0.25">
      <c r="A47" s="10" t="s">
        <v>34</v>
      </c>
      <c r="B47" s="10" t="s">
        <v>68</v>
      </c>
      <c r="C47" s="3"/>
      <c r="D47" s="4">
        <f t="shared" ref="D47" si="8">1/E47</f>
        <v>5</v>
      </c>
      <c r="E47" s="4">
        <v>0.2</v>
      </c>
      <c r="F47" s="4">
        <v>0.1</v>
      </c>
    </row>
    <row r="48" spans="1:7" x14ac:dyDescent="0.25">
      <c r="A48" s="10"/>
      <c r="B48" s="10"/>
      <c r="C48" s="3"/>
      <c r="D48" s="4"/>
      <c r="E48" s="4"/>
      <c r="F48" s="4"/>
    </row>
    <row r="49" spans="1:6" x14ac:dyDescent="0.25">
      <c r="A49" t="s">
        <v>35</v>
      </c>
      <c r="B49" t="s">
        <v>69</v>
      </c>
      <c r="C49" s="2"/>
      <c r="D49" s="1">
        <f>1/E49</f>
        <v>2</v>
      </c>
      <c r="E49" s="1">
        <v>0.5</v>
      </c>
      <c r="F49" s="1">
        <v>0.1</v>
      </c>
    </row>
    <row r="50" spans="1:6" x14ac:dyDescent="0.25">
      <c r="A50" s="10" t="s">
        <v>36</v>
      </c>
      <c r="B50" s="10" t="s">
        <v>70</v>
      </c>
      <c r="C50" s="3"/>
      <c r="D50" s="5">
        <f>1/E50</f>
        <v>1.6666666666666667</v>
      </c>
      <c r="E50" s="5">
        <v>0.6</v>
      </c>
      <c r="F50" s="4">
        <v>0.1</v>
      </c>
    </row>
    <row r="51" spans="1:6" x14ac:dyDescent="0.25">
      <c r="A51" s="10"/>
      <c r="B51" s="10"/>
      <c r="C51" s="3"/>
      <c r="D51" s="5"/>
      <c r="E51" s="5"/>
      <c r="F51" s="4"/>
    </row>
    <row r="52" spans="1:6" x14ac:dyDescent="0.25">
      <c r="A52" s="10" t="s">
        <v>37</v>
      </c>
      <c r="B52" s="10" t="s">
        <v>71</v>
      </c>
      <c r="C52" s="3"/>
      <c r="D52" s="5">
        <f t="shared" ref="D52" si="9">1/E52</f>
        <v>3.3333333333333335</v>
      </c>
      <c r="E52" s="5">
        <v>0.3</v>
      </c>
      <c r="F52" s="5">
        <v>0.1</v>
      </c>
    </row>
    <row r="53" spans="1:6" x14ac:dyDescent="0.25">
      <c r="A53" s="10"/>
      <c r="B53" s="10"/>
      <c r="C53" s="3"/>
      <c r="D53" s="5"/>
      <c r="E53" s="5"/>
      <c r="F53" s="5"/>
    </row>
    <row r="54" spans="1:6" x14ac:dyDescent="0.25">
      <c r="A54" s="10" t="s">
        <v>38</v>
      </c>
      <c r="B54" s="10" t="s">
        <v>72</v>
      </c>
      <c r="C54" s="3"/>
      <c r="D54" s="5">
        <f t="shared" ref="D54" si="10">1/E54</f>
        <v>3.7037037037037033</v>
      </c>
      <c r="E54" s="5">
        <v>0.27</v>
      </c>
      <c r="F54" s="5">
        <v>0.03</v>
      </c>
    </row>
    <row r="55" spans="1:6" x14ac:dyDescent="0.25">
      <c r="A55" s="10"/>
      <c r="B55" s="10"/>
      <c r="C55" s="3"/>
      <c r="D55" s="5"/>
      <c r="E55" s="5"/>
      <c r="F55" s="5"/>
    </row>
  </sheetData>
  <mergeCells count="127">
    <mergeCell ref="G3:G4"/>
    <mergeCell ref="A54:A55"/>
    <mergeCell ref="B54:B55"/>
    <mergeCell ref="C54:C55"/>
    <mergeCell ref="D54:D55"/>
    <mergeCell ref="E54:E55"/>
    <mergeCell ref="F54:F55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19:A20"/>
    <mergeCell ref="B19:B20"/>
    <mergeCell ref="C19:C20"/>
    <mergeCell ref="D19:D20"/>
    <mergeCell ref="E19:E20"/>
    <mergeCell ref="F19:F20"/>
    <mergeCell ref="A15:A16"/>
    <mergeCell ref="B15:B16"/>
    <mergeCell ref="C15:C16"/>
    <mergeCell ref="D15:D16"/>
    <mergeCell ref="E15:E16"/>
    <mergeCell ref="F15:F16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A6:A7"/>
    <mergeCell ref="B6:B7"/>
    <mergeCell ref="C6:C7"/>
    <mergeCell ref="D6:D7"/>
    <mergeCell ref="E6:E7"/>
    <mergeCell ref="F6:F7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284B-27C0-417B-83FA-4E6558DE7BF7}">
  <dimension ref="A1:F55"/>
  <sheetViews>
    <sheetView workbookViewId="0">
      <selection activeCell="A2" sqref="A2:F55"/>
    </sheetView>
  </sheetViews>
  <sheetFormatPr defaultRowHeight="15" x14ac:dyDescent="0.25"/>
  <cols>
    <col min="2" max="2" width="132.7109375" customWidth="1"/>
    <col min="3" max="3" width="33.140625" style="2" customWidth="1"/>
    <col min="4" max="4" width="16" style="1" customWidth="1"/>
    <col min="5" max="5" width="15.28515625" style="1" customWidth="1"/>
    <col min="6" max="6" width="9.140625" style="1"/>
  </cols>
  <sheetData>
    <row r="1" spans="1:6" x14ac:dyDescent="0.25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  <c r="F1" s="1" t="s">
        <v>39</v>
      </c>
    </row>
    <row r="2" spans="1:6" x14ac:dyDescent="0.25">
      <c r="A2" t="s">
        <v>6</v>
      </c>
      <c r="B2" t="s">
        <v>40</v>
      </c>
      <c r="D2" s="1">
        <f>1/E2</f>
        <v>0.1075268817204301</v>
      </c>
      <c r="E2" s="1">
        <v>9.3000000000000007</v>
      </c>
      <c r="F2" s="1">
        <v>0.2</v>
      </c>
    </row>
    <row r="3" spans="1:6" x14ac:dyDescent="0.25">
      <c r="A3" s="6" t="s">
        <v>7</v>
      </c>
      <c r="B3" s="3" t="s">
        <v>41</v>
      </c>
      <c r="C3" s="3"/>
      <c r="D3" s="5">
        <f t="shared" ref="D3:D52" si="0">1/E3</f>
        <v>0.15151515151515152</v>
      </c>
      <c r="E3" s="5">
        <v>6.6</v>
      </c>
      <c r="F3" s="5">
        <v>0.2</v>
      </c>
    </row>
    <row r="4" spans="1:6" x14ac:dyDescent="0.25">
      <c r="A4" s="6"/>
      <c r="B4" s="3"/>
      <c r="C4" s="3"/>
      <c r="D4" s="5"/>
      <c r="E4" s="5"/>
      <c r="F4" s="5"/>
    </row>
    <row r="5" spans="1:6" x14ac:dyDescent="0.25">
      <c r="A5" t="s">
        <v>8</v>
      </c>
      <c r="B5" t="s">
        <v>42</v>
      </c>
      <c r="D5" s="1">
        <f t="shared" si="0"/>
        <v>0.11627906976744186</v>
      </c>
      <c r="E5" s="1">
        <v>8.6</v>
      </c>
      <c r="F5" s="1">
        <v>0.1</v>
      </c>
    </row>
    <row r="6" spans="1:6" x14ac:dyDescent="0.25">
      <c r="A6" s="8" t="s">
        <v>9</v>
      </c>
      <c r="B6" s="3" t="s">
        <v>43</v>
      </c>
      <c r="C6" s="3"/>
      <c r="D6" s="7">
        <f t="shared" si="0"/>
        <v>8.3333333333333329E-2</v>
      </c>
      <c r="E6" s="7">
        <v>12</v>
      </c>
      <c r="F6" s="7">
        <v>0.6</v>
      </c>
    </row>
    <row r="7" spans="1:6" x14ac:dyDescent="0.25">
      <c r="A7" s="8"/>
      <c r="B7" s="3"/>
      <c r="C7" s="3"/>
      <c r="D7" s="7"/>
      <c r="E7" s="7"/>
      <c r="F7" s="7"/>
    </row>
    <row r="8" spans="1:6" x14ac:dyDescent="0.25">
      <c r="A8" t="s">
        <v>10</v>
      </c>
      <c r="B8" t="s">
        <v>44</v>
      </c>
      <c r="D8" s="1">
        <f t="shared" si="0"/>
        <v>7.6923076923076927E-2</v>
      </c>
      <c r="E8" s="1">
        <v>13</v>
      </c>
      <c r="F8" s="1">
        <v>1</v>
      </c>
    </row>
    <row r="9" spans="1:6" x14ac:dyDescent="0.25">
      <c r="A9" t="s">
        <v>11</v>
      </c>
      <c r="B9" t="s">
        <v>45</v>
      </c>
      <c r="D9" s="1">
        <f t="shared" si="0"/>
        <v>0.10869565217391305</v>
      </c>
      <c r="E9" s="1">
        <v>9.1999999999999993</v>
      </c>
      <c r="F9" s="1">
        <v>0.3</v>
      </c>
    </row>
    <row r="10" spans="1:6" x14ac:dyDescent="0.25">
      <c r="A10" s="6" t="s">
        <v>12</v>
      </c>
      <c r="B10" s="6" t="s">
        <v>46</v>
      </c>
      <c r="C10" s="3"/>
      <c r="D10" s="5">
        <f t="shared" si="0"/>
        <v>8.3333333333333329E-2</v>
      </c>
      <c r="E10" s="5">
        <v>12</v>
      </c>
      <c r="F10" s="5">
        <v>0.8</v>
      </c>
    </row>
    <row r="11" spans="1:6" x14ac:dyDescent="0.25">
      <c r="A11" s="6"/>
      <c r="B11" s="6"/>
      <c r="C11" s="3"/>
      <c r="D11" s="5"/>
      <c r="E11" s="5"/>
      <c r="F11" s="5"/>
    </row>
    <row r="12" spans="1:6" x14ac:dyDescent="0.25">
      <c r="A12" s="8" t="s">
        <v>13</v>
      </c>
      <c r="B12" s="8" t="s">
        <v>47</v>
      </c>
      <c r="C12" s="3"/>
      <c r="D12" s="5">
        <f t="shared" si="0"/>
        <v>0.15873015873015872</v>
      </c>
      <c r="E12" s="5">
        <v>6.3</v>
      </c>
      <c r="F12" s="5">
        <v>0.4</v>
      </c>
    </row>
    <row r="13" spans="1:6" x14ac:dyDescent="0.25">
      <c r="A13" s="8"/>
      <c r="B13" s="8"/>
      <c r="C13" s="3"/>
      <c r="D13" s="5"/>
      <c r="E13" s="5"/>
      <c r="F13" s="5"/>
    </row>
    <row r="14" spans="1:6" x14ac:dyDescent="0.25">
      <c r="A14" t="s">
        <v>14</v>
      </c>
      <c r="B14" t="s">
        <v>48</v>
      </c>
      <c r="D14" s="1">
        <f t="shared" si="0"/>
        <v>0.16666666666666666</v>
      </c>
      <c r="E14" s="1">
        <v>6</v>
      </c>
      <c r="F14" s="1">
        <v>0.1</v>
      </c>
    </row>
    <row r="15" spans="1:6" x14ac:dyDescent="0.25">
      <c r="A15" s="3" t="s">
        <v>15</v>
      </c>
      <c r="B15" s="3" t="s">
        <v>49</v>
      </c>
      <c r="C15" s="3"/>
      <c r="D15" s="5">
        <f t="shared" si="0"/>
        <v>0.17241379310344829</v>
      </c>
      <c r="E15" s="5">
        <v>5.8</v>
      </c>
      <c r="F15" s="5">
        <v>0.1</v>
      </c>
    </row>
    <row r="16" spans="1:6" x14ac:dyDescent="0.25">
      <c r="A16" s="3"/>
      <c r="B16" s="3"/>
      <c r="C16" s="3"/>
      <c r="D16" s="5"/>
      <c r="E16" s="5"/>
      <c r="F16" s="5"/>
    </row>
    <row r="17" spans="1:6" x14ac:dyDescent="0.25">
      <c r="A17" t="s">
        <v>16</v>
      </c>
      <c r="B17" t="s">
        <v>50</v>
      </c>
      <c r="D17" s="1">
        <f t="shared" si="0"/>
        <v>0.17857142857142858</v>
      </c>
      <c r="E17" s="1">
        <v>5.6</v>
      </c>
      <c r="F17" s="1">
        <v>0.2</v>
      </c>
    </row>
    <row r="18" spans="1:6" x14ac:dyDescent="0.25">
      <c r="A18" t="s">
        <v>17</v>
      </c>
      <c r="B18" t="s">
        <v>51</v>
      </c>
      <c r="D18" s="1">
        <f t="shared" si="0"/>
        <v>0.18518518518518517</v>
      </c>
      <c r="E18" s="1">
        <v>5.4</v>
      </c>
      <c r="F18" s="1">
        <v>0.2</v>
      </c>
    </row>
    <row r="19" spans="1:6" x14ac:dyDescent="0.25">
      <c r="A19" s="9" t="s">
        <v>18</v>
      </c>
      <c r="B19" s="9" t="s">
        <v>52</v>
      </c>
      <c r="C19" s="3"/>
      <c r="D19" s="5">
        <f t="shared" si="0"/>
        <v>0.23809523809523808</v>
      </c>
      <c r="E19" s="5">
        <v>4.2</v>
      </c>
      <c r="F19" s="5">
        <v>0.1</v>
      </c>
    </row>
    <row r="20" spans="1:6" x14ac:dyDescent="0.25">
      <c r="A20" s="9"/>
      <c r="B20" s="9"/>
      <c r="C20" s="3"/>
      <c r="D20" s="5"/>
      <c r="E20" s="5"/>
      <c r="F20" s="5"/>
    </row>
    <row r="21" spans="1:6" x14ac:dyDescent="0.25">
      <c r="A21" t="s">
        <v>19</v>
      </c>
      <c r="B21" t="s">
        <v>53</v>
      </c>
      <c r="D21" s="1">
        <f t="shared" si="0"/>
        <v>0.25</v>
      </c>
      <c r="E21" s="1">
        <v>4</v>
      </c>
      <c r="F21" s="1">
        <v>0.1</v>
      </c>
    </row>
    <row r="22" spans="1:6" x14ac:dyDescent="0.25">
      <c r="A22" t="s">
        <v>20</v>
      </c>
      <c r="B22" t="s">
        <v>54</v>
      </c>
      <c r="D22" s="1">
        <f t="shared" si="0"/>
        <v>0.45454545454545453</v>
      </c>
      <c r="E22" s="1">
        <v>2.2000000000000002</v>
      </c>
      <c r="F22" s="1">
        <v>0.1</v>
      </c>
    </row>
    <row r="23" spans="1:6" x14ac:dyDescent="0.25">
      <c r="A23" s="10" t="s">
        <v>21</v>
      </c>
      <c r="B23" s="10" t="s">
        <v>55</v>
      </c>
      <c r="C23" s="3"/>
      <c r="D23" s="7">
        <f t="shared" si="0"/>
        <v>0.47619047619047616</v>
      </c>
      <c r="E23" s="7">
        <v>2.1</v>
      </c>
      <c r="F23" s="7">
        <v>0.2</v>
      </c>
    </row>
    <row r="24" spans="1:6" x14ac:dyDescent="0.25">
      <c r="A24" s="10"/>
      <c r="B24" s="10"/>
      <c r="C24" s="3"/>
      <c r="D24" s="7"/>
      <c r="E24" s="7"/>
      <c r="F24" s="7"/>
    </row>
    <row r="25" spans="1:6" x14ac:dyDescent="0.25">
      <c r="A25" s="10" t="s">
        <v>22</v>
      </c>
      <c r="B25" s="10" t="s">
        <v>56</v>
      </c>
      <c r="C25" s="3"/>
      <c r="D25" s="7">
        <f t="shared" si="0"/>
        <v>0.47619047619047616</v>
      </c>
      <c r="E25" s="7">
        <v>2.1</v>
      </c>
      <c r="F25" s="7">
        <v>0.2</v>
      </c>
    </row>
    <row r="26" spans="1:6" x14ac:dyDescent="0.25">
      <c r="A26" s="10"/>
      <c r="B26" s="10"/>
      <c r="C26" s="3"/>
      <c r="D26" s="7"/>
      <c r="E26" s="7"/>
      <c r="F26" s="7"/>
    </row>
    <row r="27" spans="1:6" x14ac:dyDescent="0.25">
      <c r="A27" t="s">
        <v>23</v>
      </c>
      <c r="B27" t="s">
        <v>57</v>
      </c>
      <c r="D27" s="1">
        <f t="shared" si="0"/>
        <v>0.5</v>
      </c>
      <c r="E27" s="1">
        <v>2</v>
      </c>
      <c r="F27" s="1">
        <v>0.1</v>
      </c>
    </row>
    <row r="28" spans="1:6" x14ac:dyDescent="0.25">
      <c r="A28" t="s">
        <v>24</v>
      </c>
      <c r="B28" t="s">
        <v>58</v>
      </c>
      <c r="D28" s="1">
        <f t="shared" si="0"/>
        <v>0.66666666666666663</v>
      </c>
      <c r="E28" s="1">
        <v>1.5</v>
      </c>
      <c r="F28" s="1">
        <v>0.1</v>
      </c>
    </row>
    <row r="29" spans="1:6" x14ac:dyDescent="0.25">
      <c r="A29" s="3" t="s">
        <v>25</v>
      </c>
      <c r="B29" s="10" t="s">
        <v>59</v>
      </c>
      <c r="C29" s="3"/>
      <c r="D29" s="4">
        <f t="shared" si="0"/>
        <v>0.30303030303030304</v>
      </c>
      <c r="E29" s="4">
        <v>3.3</v>
      </c>
      <c r="F29" s="4">
        <v>0.2</v>
      </c>
    </row>
    <row r="30" spans="1:6" x14ac:dyDescent="0.25">
      <c r="A30" s="3"/>
      <c r="B30" s="10"/>
      <c r="C30" s="3"/>
      <c r="D30" s="4"/>
      <c r="E30" s="4"/>
      <c r="F30" s="4"/>
    </row>
    <row r="31" spans="1:6" x14ac:dyDescent="0.25">
      <c r="A31" s="10" t="s">
        <v>26</v>
      </c>
      <c r="B31" s="10" t="s">
        <v>60</v>
      </c>
      <c r="C31" s="3"/>
      <c r="D31" s="4">
        <f t="shared" si="0"/>
        <v>0.76923076923076916</v>
      </c>
      <c r="E31" s="4">
        <v>1.3</v>
      </c>
      <c r="F31" s="4">
        <v>0.1</v>
      </c>
    </row>
    <row r="32" spans="1:6" x14ac:dyDescent="0.25">
      <c r="A32" s="10"/>
      <c r="B32" s="10"/>
      <c r="C32" s="3"/>
      <c r="D32" s="4"/>
      <c r="E32" s="4"/>
      <c r="F32" s="4"/>
    </row>
    <row r="33" spans="1:6" x14ac:dyDescent="0.25">
      <c r="A33" s="9" t="s">
        <v>27</v>
      </c>
      <c r="B33" s="9" t="s">
        <v>61</v>
      </c>
      <c r="C33" s="3"/>
      <c r="D33" s="4">
        <f t="shared" si="0"/>
        <v>1</v>
      </c>
      <c r="E33" s="4">
        <v>1</v>
      </c>
      <c r="F33" s="4">
        <v>0.1</v>
      </c>
    </row>
    <row r="34" spans="1:6" x14ac:dyDescent="0.25">
      <c r="A34" s="9"/>
      <c r="B34" s="9"/>
      <c r="C34" s="3"/>
      <c r="D34" s="4"/>
      <c r="E34" s="4"/>
      <c r="F34" s="4"/>
    </row>
    <row r="35" spans="1:6" x14ac:dyDescent="0.25">
      <c r="A35" s="10" t="s">
        <v>28</v>
      </c>
      <c r="B35" s="10" t="s">
        <v>62</v>
      </c>
      <c r="C35" s="3"/>
      <c r="D35" s="4">
        <f t="shared" si="0"/>
        <v>5</v>
      </c>
      <c r="E35" s="4">
        <v>0.2</v>
      </c>
      <c r="F35" s="4">
        <v>0.1</v>
      </c>
    </row>
    <row r="36" spans="1:6" x14ac:dyDescent="0.25">
      <c r="A36" s="10"/>
      <c r="B36" s="10"/>
      <c r="C36" s="3"/>
      <c r="D36" s="4"/>
      <c r="E36" s="4"/>
      <c r="F36" s="4"/>
    </row>
    <row r="37" spans="1:6" x14ac:dyDescent="0.25">
      <c r="A37" s="10" t="s">
        <v>29</v>
      </c>
      <c r="B37" s="10" t="s">
        <v>63</v>
      </c>
      <c r="C37" s="3"/>
      <c r="D37" s="4" t="s">
        <v>5</v>
      </c>
      <c r="E37" s="4" t="s">
        <v>5</v>
      </c>
      <c r="F37" s="4">
        <v>0</v>
      </c>
    </row>
    <row r="38" spans="1:6" x14ac:dyDescent="0.25">
      <c r="A38" s="10"/>
      <c r="B38" s="10"/>
      <c r="C38" s="3"/>
      <c r="D38" s="4"/>
      <c r="E38" s="4"/>
      <c r="F38" s="4"/>
    </row>
    <row r="39" spans="1:6" x14ac:dyDescent="0.25">
      <c r="A39" s="10" t="s">
        <v>30</v>
      </c>
      <c r="B39" s="10" t="s">
        <v>64</v>
      </c>
      <c r="C39" s="3"/>
      <c r="D39" s="4" t="s">
        <v>5</v>
      </c>
      <c r="E39" s="4" t="s">
        <v>5</v>
      </c>
      <c r="F39" s="4">
        <v>0</v>
      </c>
    </row>
    <row r="40" spans="1:6" x14ac:dyDescent="0.25">
      <c r="A40" s="10"/>
      <c r="B40" s="10"/>
      <c r="C40" s="3"/>
      <c r="D40" s="4"/>
      <c r="E40" s="4"/>
      <c r="F40" s="4"/>
    </row>
    <row r="41" spans="1:6" x14ac:dyDescent="0.25">
      <c r="A41" s="10" t="s">
        <v>31</v>
      </c>
      <c r="B41" s="10" t="s">
        <v>65</v>
      </c>
      <c r="C41" s="3"/>
      <c r="D41" s="4" t="s">
        <v>5</v>
      </c>
      <c r="E41" s="4" t="s">
        <v>5</v>
      </c>
      <c r="F41" s="4">
        <v>0</v>
      </c>
    </row>
    <row r="42" spans="1:6" x14ac:dyDescent="0.25">
      <c r="A42" s="10"/>
      <c r="B42" s="10"/>
      <c r="C42" s="3"/>
      <c r="D42" s="4"/>
      <c r="E42" s="4"/>
      <c r="F42" s="4"/>
    </row>
    <row r="43" spans="1:6" x14ac:dyDescent="0.25">
      <c r="A43" s="10" t="s">
        <v>32</v>
      </c>
      <c r="B43" s="10" t="s">
        <v>66</v>
      </c>
      <c r="C43" s="3"/>
      <c r="D43" s="4" t="s">
        <v>5</v>
      </c>
      <c r="E43" s="4" t="s">
        <v>5</v>
      </c>
      <c r="F43" s="4">
        <v>0</v>
      </c>
    </row>
    <row r="44" spans="1:6" x14ac:dyDescent="0.25">
      <c r="A44" s="10"/>
      <c r="B44" s="10"/>
      <c r="C44" s="3"/>
      <c r="D44" s="4"/>
      <c r="E44" s="4"/>
      <c r="F44" s="4"/>
    </row>
    <row r="45" spans="1:6" x14ac:dyDescent="0.25">
      <c r="A45" s="10" t="s">
        <v>33</v>
      </c>
      <c r="B45" s="10" t="s">
        <v>67</v>
      </c>
      <c r="C45" s="3"/>
      <c r="D45" s="4" t="s">
        <v>5</v>
      </c>
      <c r="E45" s="4" t="s">
        <v>5</v>
      </c>
      <c r="F45" s="4">
        <v>0</v>
      </c>
    </row>
    <row r="46" spans="1:6" x14ac:dyDescent="0.25">
      <c r="A46" s="10"/>
      <c r="B46" s="10"/>
      <c r="C46" s="3"/>
      <c r="D46" s="4"/>
      <c r="E46" s="4"/>
      <c r="F46" s="4"/>
    </row>
    <row r="47" spans="1:6" x14ac:dyDescent="0.25">
      <c r="A47" s="10" t="s">
        <v>34</v>
      </c>
      <c r="B47" s="10" t="s">
        <v>68</v>
      </c>
      <c r="C47" s="3"/>
      <c r="D47" s="4" t="s">
        <v>5</v>
      </c>
      <c r="E47" s="4" t="s">
        <v>5</v>
      </c>
      <c r="F47" s="4">
        <v>0</v>
      </c>
    </row>
    <row r="48" spans="1:6" x14ac:dyDescent="0.25">
      <c r="A48" s="10"/>
      <c r="B48" s="10"/>
      <c r="C48" s="3"/>
      <c r="D48" s="4"/>
      <c r="E48" s="4"/>
      <c r="F48" s="4"/>
    </row>
    <row r="49" spans="1:6" x14ac:dyDescent="0.25">
      <c r="A49" t="s">
        <v>35</v>
      </c>
      <c r="B49" t="s">
        <v>69</v>
      </c>
      <c r="D49" s="1">
        <f t="shared" si="0"/>
        <v>5</v>
      </c>
      <c r="E49" s="1">
        <v>0.2</v>
      </c>
      <c r="F49" s="1">
        <v>0.1</v>
      </c>
    </row>
    <row r="50" spans="1:6" x14ac:dyDescent="0.25">
      <c r="A50" s="10" t="s">
        <v>36</v>
      </c>
      <c r="B50" s="10" t="s">
        <v>70</v>
      </c>
      <c r="C50" s="3"/>
      <c r="D50" s="5">
        <f t="shared" si="0"/>
        <v>0.11904761904761904</v>
      </c>
      <c r="E50" s="5">
        <v>8.4</v>
      </c>
      <c r="F50" s="5">
        <v>0.2</v>
      </c>
    </row>
    <row r="51" spans="1:6" x14ac:dyDescent="0.25">
      <c r="A51" s="10"/>
      <c r="B51" s="10"/>
      <c r="C51" s="3"/>
      <c r="D51" s="5"/>
      <c r="E51" s="5"/>
      <c r="F51" s="5"/>
    </row>
    <row r="52" spans="1:6" x14ac:dyDescent="0.25">
      <c r="A52" s="10" t="s">
        <v>37</v>
      </c>
      <c r="B52" s="10" t="s">
        <v>71</v>
      </c>
      <c r="C52" s="3"/>
      <c r="D52" s="5">
        <f t="shared" si="0"/>
        <v>0.1111111111111111</v>
      </c>
      <c r="E52" s="5">
        <v>9</v>
      </c>
      <c r="F52" s="5">
        <v>0.6</v>
      </c>
    </row>
    <row r="53" spans="1:6" x14ac:dyDescent="0.25">
      <c r="A53" s="10"/>
      <c r="B53" s="10"/>
      <c r="C53" s="3"/>
      <c r="D53" s="5"/>
      <c r="E53" s="5"/>
      <c r="F53" s="5"/>
    </row>
    <row r="54" spans="1:6" x14ac:dyDescent="0.25">
      <c r="A54" s="10" t="s">
        <v>38</v>
      </c>
      <c r="B54" s="10" t="s">
        <v>72</v>
      </c>
      <c r="C54" s="3"/>
      <c r="D54" s="5">
        <f>1/E54</f>
        <v>0.76923076923076916</v>
      </c>
      <c r="E54" s="5">
        <v>1.3</v>
      </c>
      <c r="F54" s="5">
        <v>0.1</v>
      </c>
    </row>
    <row r="55" spans="1:6" x14ac:dyDescent="0.25">
      <c r="A55" s="10"/>
      <c r="B55" s="10"/>
      <c r="C55" s="3"/>
      <c r="D55" s="5"/>
      <c r="E55" s="5"/>
      <c r="F55" s="5"/>
    </row>
  </sheetData>
  <mergeCells count="126">
    <mergeCell ref="C52:C53"/>
    <mergeCell ref="D52:D53"/>
    <mergeCell ref="E52:E53"/>
    <mergeCell ref="F52:F53"/>
    <mergeCell ref="C54:C55"/>
    <mergeCell ref="D54:D55"/>
    <mergeCell ref="E54:E55"/>
    <mergeCell ref="F54:F55"/>
    <mergeCell ref="C47:C48"/>
    <mergeCell ref="D47:D48"/>
    <mergeCell ref="E47:E48"/>
    <mergeCell ref="F47:F48"/>
    <mergeCell ref="C50:C51"/>
    <mergeCell ref="D50:D51"/>
    <mergeCell ref="E50:E51"/>
    <mergeCell ref="F50:F51"/>
    <mergeCell ref="C43:C44"/>
    <mergeCell ref="D43:D44"/>
    <mergeCell ref="E43:E44"/>
    <mergeCell ref="F43:F44"/>
    <mergeCell ref="C45:C46"/>
    <mergeCell ref="D45:D46"/>
    <mergeCell ref="E45:E46"/>
    <mergeCell ref="F45:F46"/>
    <mergeCell ref="D39:D40"/>
    <mergeCell ref="E39:E40"/>
    <mergeCell ref="F39:F40"/>
    <mergeCell ref="C41:C42"/>
    <mergeCell ref="D41:D42"/>
    <mergeCell ref="E41:E42"/>
    <mergeCell ref="F41:F42"/>
    <mergeCell ref="B52:B53"/>
    <mergeCell ref="B54:B55"/>
    <mergeCell ref="C37:C38"/>
    <mergeCell ref="D37:D38"/>
    <mergeCell ref="E37:E38"/>
    <mergeCell ref="F37:F38"/>
    <mergeCell ref="C39:C40"/>
    <mergeCell ref="A50:A51"/>
    <mergeCell ref="A52:A53"/>
    <mergeCell ref="A54:A55"/>
    <mergeCell ref="B37:B38"/>
    <mergeCell ref="B39:B40"/>
    <mergeCell ref="B41:B42"/>
    <mergeCell ref="B43:B44"/>
    <mergeCell ref="B45:B46"/>
    <mergeCell ref="B47:B48"/>
    <mergeCell ref="B50:B51"/>
    <mergeCell ref="A37:A38"/>
    <mergeCell ref="A39:A40"/>
    <mergeCell ref="A41:A42"/>
    <mergeCell ref="A43:A44"/>
    <mergeCell ref="A45:A46"/>
    <mergeCell ref="A47:A48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F25:F26"/>
    <mergeCell ref="A29:A30"/>
    <mergeCell ref="B29:B30"/>
    <mergeCell ref="C29:C30"/>
    <mergeCell ref="D29:D30"/>
    <mergeCell ref="E29:E30"/>
    <mergeCell ref="F29:F30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F23:F24"/>
    <mergeCell ref="A19:A20"/>
    <mergeCell ref="B19:B20"/>
    <mergeCell ref="C19:C20"/>
    <mergeCell ref="D19:D20"/>
    <mergeCell ref="E19:E20"/>
    <mergeCell ref="F19:F20"/>
    <mergeCell ref="A15:A16"/>
    <mergeCell ref="B15:B16"/>
    <mergeCell ref="C15:C16"/>
    <mergeCell ref="D15:D16"/>
    <mergeCell ref="E15:E16"/>
    <mergeCell ref="F15:F16"/>
    <mergeCell ref="A12:A13"/>
    <mergeCell ref="B12:B13"/>
    <mergeCell ref="C12:C13"/>
    <mergeCell ref="D12:D13"/>
    <mergeCell ref="E12:E13"/>
    <mergeCell ref="F12:F13"/>
    <mergeCell ref="F3:F4"/>
    <mergeCell ref="A3:A4"/>
    <mergeCell ref="B3:B4"/>
    <mergeCell ref="A10:A11"/>
    <mergeCell ref="B10:B11"/>
    <mergeCell ref="C10:C11"/>
    <mergeCell ref="D10:D11"/>
    <mergeCell ref="E10:E11"/>
    <mergeCell ref="F10:F11"/>
    <mergeCell ref="C3:C4"/>
    <mergeCell ref="C6:C7"/>
    <mergeCell ref="B6:B7"/>
    <mergeCell ref="A6:A7"/>
    <mergeCell ref="D6:D7"/>
    <mergeCell ref="E6:E7"/>
    <mergeCell ref="F6:F7"/>
    <mergeCell ref="D3:D4"/>
    <mergeCell ref="E3:E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1D22-D360-4D87-94D8-496C0122A68D}">
  <dimension ref="A1:F55"/>
  <sheetViews>
    <sheetView workbookViewId="0">
      <selection sqref="A1:F55"/>
    </sheetView>
  </sheetViews>
  <sheetFormatPr defaultRowHeight="15" x14ac:dyDescent="0.25"/>
  <cols>
    <col min="2" max="2" width="99.85546875" customWidth="1"/>
    <col min="3" max="3" width="53.85546875" customWidth="1"/>
    <col min="4" max="4" width="14.140625" customWidth="1"/>
  </cols>
  <sheetData>
    <row r="1" spans="1:6" x14ac:dyDescent="0.25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  <c r="F1" s="1" t="s">
        <v>39</v>
      </c>
    </row>
    <row r="2" spans="1:6" x14ac:dyDescent="0.25">
      <c r="A2" t="s">
        <v>6</v>
      </c>
      <c r="B2" t="s">
        <v>40</v>
      </c>
      <c r="C2" s="2"/>
      <c r="D2" s="1">
        <f>1/0.9</f>
        <v>1.1111111111111112</v>
      </c>
      <c r="E2" s="1">
        <v>0.9</v>
      </c>
      <c r="F2" s="1">
        <v>0.1</v>
      </c>
    </row>
    <row r="3" spans="1:6" x14ac:dyDescent="0.25">
      <c r="A3" s="6" t="s">
        <v>7</v>
      </c>
      <c r="B3" s="3" t="s">
        <v>41</v>
      </c>
      <c r="C3" s="3"/>
      <c r="D3" s="5">
        <f>1/E3</f>
        <v>2.5</v>
      </c>
      <c r="E3" s="5">
        <v>0.4</v>
      </c>
      <c r="F3" s="5">
        <v>0.1</v>
      </c>
    </row>
    <row r="4" spans="1:6" x14ac:dyDescent="0.25">
      <c r="A4" s="6"/>
      <c r="B4" s="3"/>
      <c r="C4" s="3"/>
      <c r="D4" s="5"/>
      <c r="E4" s="5"/>
      <c r="F4" s="5"/>
    </row>
    <row r="5" spans="1:6" x14ac:dyDescent="0.25">
      <c r="A5" t="s">
        <v>8</v>
      </c>
      <c r="B5" t="s">
        <v>42</v>
      </c>
      <c r="C5" s="2"/>
      <c r="D5" s="1">
        <f>1/E5</f>
        <v>1.25</v>
      </c>
      <c r="E5" s="1">
        <v>0.8</v>
      </c>
      <c r="F5" s="1">
        <v>0.2</v>
      </c>
    </row>
    <row r="6" spans="1:6" x14ac:dyDescent="0.25">
      <c r="A6" s="8" t="s">
        <v>9</v>
      </c>
      <c r="B6" s="3" t="s">
        <v>43</v>
      </c>
      <c r="C6" s="3"/>
      <c r="D6" s="5">
        <f>1/E6</f>
        <v>1</v>
      </c>
      <c r="E6" s="7">
        <v>1</v>
      </c>
      <c r="F6" s="7">
        <v>0.1</v>
      </c>
    </row>
    <row r="7" spans="1:6" x14ac:dyDescent="0.25">
      <c r="A7" s="8"/>
      <c r="B7" s="3"/>
      <c r="C7" s="3"/>
      <c r="D7" s="5"/>
      <c r="E7" s="7"/>
      <c r="F7" s="7"/>
    </row>
    <row r="8" spans="1:6" x14ac:dyDescent="0.25">
      <c r="A8" t="s">
        <v>10</v>
      </c>
      <c r="B8" t="s">
        <v>44</v>
      </c>
      <c r="C8" s="2"/>
      <c r="D8" s="1">
        <f>1/E8</f>
        <v>1.4285714285714286</v>
      </c>
      <c r="E8" s="1">
        <v>0.7</v>
      </c>
      <c r="F8" s="1">
        <v>0.1</v>
      </c>
    </row>
    <row r="9" spans="1:6" x14ac:dyDescent="0.25">
      <c r="A9" t="s">
        <v>11</v>
      </c>
      <c r="B9" t="s">
        <v>45</v>
      </c>
      <c r="C9" s="2"/>
      <c r="D9" s="1">
        <f>1/E9</f>
        <v>2</v>
      </c>
      <c r="E9" s="1">
        <v>0.5</v>
      </c>
      <c r="F9" s="1">
        <v>0.2</v>
      </c>
    </row>
    <row r="10" spans="1:6" x14ac:dyDescent="0.25">
      <c r="A10" s="6" t="s">
        <v>12</v>
      </c>
      <c r="B10" s="6" t="s">
        <v>46</v>
      </c>
      <c r="C10" s="3"/>
      <c r="D10" s="5">
        <f>1/E10</f>
        <v>2.5</v>
      </c>
      <c r="E10" s="5">
        <v>0.4</v>
      </c>
      <c r="F10" s="5">
        <v>0.1</v>
      </c>
    </row>
    <row r="11" spans="1:6" x14ac:dyDescent="0.25">
      <c r="A11" s="6"/>
      <c r="B11" s="6"/>
      <c r="C11" s="3"/>
      <c r="D11" s="5"/>
      <c r="E11" s="5"/>
      <c r="F11" s="5"/>
    </row>
    <row r="12" spans="1:6" x14ac:dyDescent="0.25">
      <c r="A12" s="8" t="s">
        <v>13</v>
      </c>
      <c r="B12" s="8" t="s">
        <v>47</v>
      </c>
      <c r="C12" s="3"/>
      <c r="D12" s="5">
        <f>1/E12</f>
        <v>2.5</v>
      </c>
      <c r="E12" s="5">
        <v>0.4</v>
      </c>
      <c r="F12" s="5">
        <v>0.1</v>
      </c>
    </row>
    <row r="13" spans="1:6" x14ac:dyDescent="0.25">
      <c r="A13" s="8"/>
      <c r="B13" s="8"/>
      <c r="C13" s="3"/>
      <c r="D13" s="5"/>
      <c r="E13" s="5"/>
      <c r="F13" s="5"/>
    </row>
    <row r="14" spans="1:6" x14ac:dyDescent="0.25">
      <c r="A14" t="s">
        <v>14</v>
      </c>
      <c r="B14" t="s">
        <v>48</v>
      </c>
      <c r="C14" s="2"/>
      <c r="D14" s="1">
        <f>1/E14</f>
        <v>0.83333333333333337</v>
      </c>
      <c r="E14" s="1">
        <v>1.2</v>
      </c>
      <c r="F14" s="1">
        <v>0.1</v>
      </c>
    </row>
    <row r="15" spans="1:6" x14ac:dyDescent="0.25">
      <c r="A15" s="3" t="s">
        <v>15</v>
      </c>
      <c r="B15" s="3" t="s">
        <v>49</v>
      </c>
      <c r="C15" s="3"/>
      <c r="D15" s="5">
        <f>1/E15</f>
        <v>0.83333333333333337</v>
      </c>
      <c r="E15" s="5">
        <v>1.2</v>
      </c>
      <c r="F15" s="5">
        <v>0.2</v>
      </c>
    </row>
    <row r="16" spans="1:6" x14ac:dyDescent="0.25">
      <c r="A16" s="3"/>
      <c r="B16" s="3"/>
      <c r="C16" s="3"/>
      <c r="D16" s="5"/>
      <c r="E16" s="5"/>
      <c r="F16" s="5"/>
    </row>
    <row r="17" spans="1:6" x14ac:dyDescent="0.25">
      <c r="A17" t="s">
        <v>16</v>
      </c>
      <c r="B17" t="s">
        <v>50</v>
      </c>
      <c r="C17" s="2"/>
      <c r="D17" s="1">
        <f>1/E17</f>
        <v>1.25</v>
      </c>
      <c r="E17" s="1">
        <v>0.8</v>
      </c>
      <c r="F17" s="1">
        <v>0.1</v>
      </c>
    </row>
    <row r="18" spans="1:6" x14ac:dyDescent="0.25">
      <c r="A18" t="s">
        <v>17</v>
      </c>
      <c r="B18" t="s">
        <v>51</v>
      </c>
      <c r="C18" s="2"/>
      <c r="D18" s="1">
        <f>1/E18</f>
        <v>2</v>
      </c>
      <c r="E18" s="1">
        <v>0.5</v>
      </c>
      <c r="F18" s="1">
        <v>0.1</v>
      </c>
    </row>
    <row r="19" spans="1:6" x14ac:dyDescent="0.25">
      <c r="A19" s="9" t="s">
        <v>18</v>
      </c>
      <c r="B19" s="9" t="s">
        <v>52</v>
      </c>
      <c r="C19" s="3"/>
      <c r="D19" s="5">
        <f>1/E19</f>
        <v>2.5</v>
      </c>
      <c r="E19" s="5">
        <v>0.4</v>
      </c>
      <c r="F19" s="5">
        <v>0.1</v>
      </c>
    </row>
    <row r="20" spans="1:6" x14ac:dyDescent="0.25">
      <c r="A20" s="9"/>
      <c r="B20" s="9"/>
      <c r="C20" s="3"/>
      <c r="D20" s="5"/>
      <c r="E20" s="5"/>
      <c r="F20" s="5"/>
    </row>
    <row r="21" spans="1:6" x14ac:dyDescent="0.25">
      <c r="A21" t="s">
        <v>19</v>
      </c>
      <c r="B21" t="s">
        <v>53</v>
      </c>
      <c r="C21" s="2"/>
      <c r="D21" s="1">
        <f>1/E21</f>
        <v>1.6666666666666667</v>
      </c>
      <c r="E21" s="1">
        <v>0.6</v>
      </c>
      <c r="F21" s="1">
        <v>0.1</v>
      </c>
    </row>
    <row r="22" spans="1:6" x14ac:dyDescent="0.25">
      <c r="A22" t="s">
        <v>20</v>
      </c>
      <c r="B22" t="s">
        <v>54</v>
      </c>
      <c r="C22" s="2"/>
      <c r="D22" s="1">
        <f>1/E22</f>
        <v>1.4285714285714286</v>
      </c>
      <c r="E22" s="1">
        <v>0.7</v>
      </c>
      <c r="F22" s="1">
        <v>0.1</v>
      </c>
    </row>
    <row r="23" spans="1:6" x14ac:dyDescent="0.25">
      <c r="A23" s="10" t="s">
        <v>21</v>
      </c>
      <c r="B23" s="10" t="s">
        <v>55</v>
      </c>
      <c r="C23" s="3"/>
      <c r="D23" s="5">
        <f>1/E23</f>
        <v>3.3333333333333335</v>
      </c>
      <c r="E23" s="7">
        <v>0.3</v>
      </c>
      <c r="F23" s="7">
        <v>0.1</v>
      </c>
    </row>
    <row r="24" spans="1:6" x14ac:dyDescent="0.25">
      <c r="A24" s="10"/>
      <c r="B24" s="10"/>
      <c r="C24" s="3"/>
      <c r="D24" s="5"/>
      <c r="E24" s="7"/>
      <c r="F24" s="7"/>
    </row>
    <row r="25" spans="1:6" x14ac:dyDescent="0.25">
      <c r="A25" s="10" t="s">
        <v>22</v>
      </c>
      <c r="B25" s="10" t="s">
        <v>56</v>
      </c>
      <c r="C25" s="3"/>
      <c r="D25" s="5">
        <f>1/E25</f>
        <v>1.25</v>
      </c>
      <c r="E25" s="7">
        <v>0.8</v>
      </c>
      <c r="F25" s="7">
        <v>0.2</v>
      </c>
    </row>
    <row r="26" spans="1:6" x14ac:dyDescent="0.25">
      <c r="A26" s="10"/>
      <c r="B26" s="10"/>
      <c r="C26" s="3"/>
      <c r="D26" s="5"/>
      <c r="E26" s="7"/>
      <c r="F26" s="7"/>
    </row>
    <row r="27" spans="1:6" x14ac:dyDescent="0.25">
      <c r="A27" t="s">
        <v>23</v>
      </c>
      <c r="B27" t="s">
        <v>57</v>
      </c>
      <c r="C27" s="2"/>
      <c r="D27" s="1">
        <f>1/E27</f>
        <v>1.25</v>
      </c>
      <c r="E27" s="1">
        <v>0.8</v>
      </c>
      <c r="F27" s="1">
        <v>0.1</v>
      </c>
    </row>
    <row r="28" spans="1:6" x14ac:dyDescent="0.25">
      <c r="A28" t="s">
        <v>24</v>
      </c>
      <c r="B28" t="s">
        <v>58</v>
      </c>
      <c r="C28" s="2"/>
      <c r="D28" s="1">
        <f>1/E28</f>
        <v>0.7142857142857143</v>
      </c>
      <c r="E28" s="1">
        <v>1.4</v>
      </c>
      <c r="F28" s="1">
        <v>0.2</v>
      </c>
    </row>
    <row r="29" spans="1:6" x14ac:dyDescent="0.25">
      <c r="A29" s="3" t="s">
        <v>25</v>
      </c>
      <c r="B29" s="10" t="s">
        <v>59</v>
      </c>
      <c r="C29" s="3"/>
      <c r="D29" s="5">
        <f>1/E29</f>
        <v>1.6666666666666667</v>
      </c>
      <c r="E29" s="4">
        <v>0.6</v>
      </c>
      <c r="F29" s="4">
        <v>0.1</v>
      </c>
    </row>
    <row r="30" spans="1:6" x14ac:dyDescent="0.25">
      <c r="A30" s="3"/>
      <c r="B30" s="10"/>
      <c r="C30" s="3"/>
      <c r="D30" s="5"/>
      <c r="E30" s="4"/>
      <c r="F30" s="4"/>
    </row>
    <row r="31" spans="1:6" x14ac:dyDescent="0.25">
      <c r="A31" s="10" t="s">
        <v>26</v>
      </c>
      <c r="B31" s="10" t="s">
        <v>60</v>
      </c>
      <c r="C31" s="3"/>
      <c r="D31" s="5">
        <f t="shared" ref="D31" si="0">1/E31</f>
        <v>3.3333333333333335</v>
      </c>
      <c r="E31" s="4">
        <v>0.3</v>
      </c>
      <c r="F31" s="4">
        <v>0.1</v>
      </c>
    </row>
    <row r="32" spans="1:6" x14ac:dyDescent="0.25">
      <c r="A32" s="10"/>
      <c r="B32" s="10"/>
      <c r="C32" s="3"/>
      <c r="D32" s="5"/>
      <c r="E32" s="4"/>
      <c r="F32" s="4"/>
    </row>
    <row r="33" spans="1:6" x14ac:dyDescent="0.25">
      <c r="A33" s="9" t="s">
        <v>27</v>
      </c>
      <c r="B33" s="9" t="s">
        <v>61</v>
      </c>
      <c r="C33" s="3"/>
      <c r="D33" s="5">
        <f t="shared" ref="D33" si="1">1/E33</f>
        <v>1</v>
      </c>
      <c r="E33" s="4">
        <v>1</v>
      </c>
      <c r="F33" s="4">
        <v>0.1</v>
      </c>
    </row>
    <row r="34" spans="1:6" x14ac:dyDescent="0.25">
      <c r="A34" s="9"/>
      <c r="B34" s="9"/>
      <c r="C34" s="3"/>
      <c r="D34" s="5"/>
      <c r="E34" s="4"/>
      <c r="F34" s="4"/>
    </row>
    <row r="35" spans="1:6" x14ac:dyDescent="0.25">
      <c r="A35" s="10" t="s">
        <v>28</v>
      </c>
      <c r="B35" s="10" t="s">
        <v>62</v>
      </c>
      <c r="C35" s="3"/>
      <c r="D35" s="5">
        <f t="shared" ref="D35" si="2">1/E35</f>
        <v>5</v>
      </c>
      <c r="E35" s="4">
        <v>0.2</v>
      </c>
      <c r="F35" s="4">
        <v>0.1</v>
      </c>
    </row>
    <row r="36" spans="1:6" x14ac:dyDescent="0.25">
      <c r="A36" s="10"/>
      <c r="B36" s="10"/>
      <c r="C36" s="3"/>
      <c r="D36" s="5"/>
      <c r="E36" s="4"/>
      <c r="F36" s="4"/>
    </row>
    <row r="37" spans="1:6" x14ac:dyDescent="0.25">
      <c r="A37" s="10" t="s">
        <v>29</v>
      </c>
      <c r="B37" s="10" t="s">
        <v>63</v>
      </c>
      <c r="C37" s="3"/>
      <c r="D37" s="5">
        <f t="shared" ref="D37" si="3">1/E37</f>
        <v>10</v>
      </c>
      <c r="E37" s="4">
        <v>0.1</v>
      </c>
      <c r="F37" s="4">
        <v>0.01</v>
      </c>
    </row>
    <row r="38" spans="1:6" x14ac:dyDescent="0.25">
      <c r="A38" s="10"/>
      <c r="B38" s="10"/>
      <c r="C38" s="3"/>
      <c r="D38" s="5"/>
      <c r="E38" s="4"/>
      <c r="F38" s="4"/>
    </row>
    <row r="39" spans="1:6" x14ac:dyDescent="0.25">
      <c r="A39" s="10" t="s">
        <v>30</v>
      </c>
      <c r="B39" s="10" t="s">
        <v>64</v>
      </c>
      <c r="C39" s="3"/>
      <c r="D39" s="5">
        <f t="shared" ref="D39" si="4">1/E39</f>
        <v>2.5</v>
      </c>
      <c r="E39" s="4">
        <v>0.4</v>
      </c>
      <c r="F39" s="4">
        <v>0.1</v>
      </c>
    </row>
    <row r="40" spans="1:6" x14ac:dyDescent="0.25">
      <c r="A40" s="10"/>
      <c r="B40" s="10"/>
      <c r="C40" s="3"/>
      <c r="D40" s="5"/>
      <c r="E40" s="4"/>
      <c r="F40" s="4"/>
    </row>
    <row r="41" spans="1:6" x14ac:dyDescent="0.25">
      <c r="A41" s="10" t="s">
        <v>31</v>
      </c>
      <c r="B41" s="10" t="s">
        <v>65</v>
      </c>
      <c r="C41" s="3"/>
      <c r="D41" s="5">
        <f t="shared" ref="D41" si="5">1/E41</f>
        <v>10</v>
      </c>
      <c r="E41" s="4">
        <v>0.1</v>
      </c>
      <c r="F41" s="4">
        <v>0.02</v>
      </c>
    </row>
    <row r="42" spans="1:6" x14ac:dyDescent="0.25">
      <c r="A42" s="10"/>
      <c r="B42" s="10"/>
      <c r="C42" s="3"/>
      <c r="D42" s="5"/>
      <c r="E42" s="4"/>
      <c r="F42" s="4"/>
    </row>
    <row r="43" spans="1:6" x14ac:dyDescent="0.25">
      <c r="A43" s="10" t="s">
        <v>32</v>
      </c>
      <c r="B43" s="10" t="s">
        <v>66</v>
      </c>
      <c r="C43" s="3"/>
      <c r="D43" s="5" t="s">
        <v>5</v>
      </c>
      <c r="E43" s="5" t="s">
        <v>5</v>
      </c>
      <c r="F43" s="4">
        <v>0</v>
      </c>
    </row>
    <row r="44" spans="1:6" x14ac:dyDescent="0.25">
      <c r="A44" s="10"/>
      <c r="B44" s="10"/>
      <c r="C44" s="3"/>
      <c r="D44" s="5"/>
      <c r="E44" s="5"/>
      <c r="F44" s="4"/>
    </row>
    <row r="45" spans="1:6" x14ac:dyDescent="0.25">
      <c r="A45" s="10" t="s">
        <v>33</v>
      </c>
      <c r="B45" s="10" t="s">
        <v>67</v>
      </c>
      <c r="C45" s="3"/>
      <c r="D45" s="5">
        <f t="shared" ref="D45" si="6">1/E45</f>
        <v>5</v>
      </c>
      <c r="E45" s="4">
        <v>0.2</v>
      </c>
      <c r="F45" s="4">
        <v>0.1</v>
      </c>
    </row>
    <row r="46" spans="1:6" x14ac:dyDescent="0.25">
      <c r="A46" s="10"/>
      <c r="B46" s="10"/>
      <c r="C46" s="3"/>
      <c r="D46" s="5"/>
      <c r="E46" s="4"/>
      <c r="F46" s="4"/>
    </row>
    <row r="47" spans="1:6" x14ac:dyDescent="0.25">
      <c r="A47" s="10" t="s">
        <v>34</v>
      </c>
      <c r="B47" s="10" t="s">
        <v>68</v>
      </c>
      <c r="C47" s="3"/>
      <c r="D47" s="5">
        <f t="shared" ref="D47" si="7">1/E47</f>
        <v>5</v>
      </c>
      <c r="E47" s="4">
        <v>0.2</v>
      </c>
      <c r="F47" s="4">
        <v>0.1</v>
      </c>
    </row>
    <row r="48" spans="1:6" x14ac:dyDescent="0.25">
      <c r="A48" s="10"/>
      <c r="B48" s="10"/>
      <c r="C48" s="3"/>
      <c r="D48" s="5"/>
      <c r="E48" s="4"/>
      <c r="F48" s="4"/>
    </row>
    <row r="49" spans="1:6" x14ac:dyDescent="0.25">
      <c r="A49" t="s">
        <v>35</v>
      </c>
      <c r="B49" t="s">
        <v>69</v>
      </c>
      <c r="C49" s="2"/>
      <c r="D49" s="1">
        <f>1/E49</f>
        <v>3.3333333333333335</v>
      </c>
      <c r="E49" s="1">
        <v>0.3</v>
      </c>
      <c r="F49" s="1">
        <v>0.1</v>
      </c>
    </row>
    <row r="50" spans="1:6" x14ac:dyDescent="0.25">
      <c r="A50" s="10" t="s">
        <v>36</v>
      </c>
      <c r="B50" s="10" t="s">
        <v>70</v>
      </c>
      <c r="C50" s="3"/>
      <c r="D50" s="5">
        <f>1/E50</f>
        <v>2</v>
      </c>
      <c r="E50" s="5">
        <v>0.5</v>
      </c>
      <c r="F50" s="5">
        <v>0.1</v>
      </c>
    </row>
    <row r="51" spans="1:6" x14ac:dyDescent="0.25">
      <c r="A51" s="10"/>
      <c r="B51" s="10"/>
      <c r="C51" s="3"/>
      <c r="D51" s="5"/>
      <c r="E51" s="5"/>
      <c r="F51" s="5"/>
    </row>
    <row r="52" spans="1:6" x14ac:dyDescent="0.25">
      <c r="A52" s="10" t="s">
        <v>37</v>
      </c>
      <c r="B52" s="10" t="s">
        <v>71</v>
      </c>
      <c r="C52" s="3"/>
      <c r="D52" s="5">
        <f t="shared" ref="D52" si="8">1/E52</f>
        <v>3.3333333333333335</v>
      </c>
      <c r="E52" s="5">
        <v>0.3</v>
      </c>
      <c r="F52" s="5">
        <v>0.1</v>
      </c>
    </row>
    <row r="53" spans="1:6" x14ac:dyDescent="0.25">
      <c r="A53" s="10"/>
      <c r="B53" s="10"/>
      <c r="C53" s="3"/>
      <c r="D53" s="5"/>
      <c r="E53" s="5"/>
      <c r="F53" s="5"/>
    </row>
    <row r="54" spans="1:6" x14ac:dyDescent="0.25">
      <c r="A54" s="10" t="s">
        <v>38</v>
      </c>
      <c r="B54" s="10" t="s">
        <v>72</v>
      </c>
      <c r="C54" s="3"/>
      <c r="D54" s="5">
        <f t="shared" ref="D54" si="9">1/E54</f>
        <v>0.37037037037037035</v>
      </c>
      <c r="E54" s="5">
        <v>2.7</v>
      </c>
      <c r="F54" s="5">
        <v>0.5</v>
      </c>
    </row>
    <row r="55" spans="1:6" x14ac:dyDescent="0.25">
      <c r="A55" s="10"/>
      <c r="B55" s="10"/>
      <c r="C55" s="3"/>
      <c r="D55" s="5"/>
      <c r="E55" s="5"/>
      <c r="F55" s="5"/>
    </row>
  </sheetData>
  <mergeCells count="126">
    <mergeCell ref="F50:F51"/>
    <mergeCell ref="F52:F53"/>
    <mergeCell ref="F54:F55"/>
    <mergeCell ref="E43:E44"/>
    <mergeCell ref="F37:F38"/>
    <mergeCell ref="F39:F40"/>
    <mergeCell ref="F41:F42"/>
    <mergeCell ref="F43:F44"/>
    <mergeCell ref="F45:F46"/>
    <mergeCell ref="F47:F48"/>
    <mergeCell ref="F23:F24"/>
    <mergeCell ref="F25:F26"/>
    <mergeCell ref="F29:F30"/>
    <mergeCell ref="F31:F32"/>
    <mergeCell ref="F33:F34"/>
    <mergeCell ref="F35:F36"/>
    <mergeCell ref="F3:F4"/>
    <mergeCell ref="F6:F7"/>
    <mergeCell ref="F10:F11"/>
    <mergeCell ref="F12:F13"/>
    <mergeCell ref="F15:F16"/>
    <mergeCell ref="F19:F20"/>
    <mergeCell ref="A54:A55"/>
    <mergeCell ref="B54:B55"/>
    <mergeCell ref="C54:C55"/>
    <mergeCell ref="D54:D55"/>
    <mergeCell ref="E54:E55"/>
    <mergeCell ref="A52:A53"/>
    <mergeCell ref="B52:B53"/>
    <mergeCell ref="C52:C53"/>
    <mergeCell ref="D52:D53"/>
    <mergeCell ref="E52:E53"/>
    <mergeCell ref="A50:A51"/>
    <mergeCell ref="B50:B51"/>
    <mergeCell ref="C50:C51"/>
    <mergeCell ref="D50:D51"/>
    <mergeCell ref="E50:E51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A43:A44"/>
    <mergeCell ref="B43:B44"/>
    <mergeCell ref="C43:C44"/>
    <mergeCell ref="D43:D44"/>
    <mergeCell ref="A41:A42"/>
    <mergeCell ref="B41:B42"/>
    <mergeCell ref="C41:C42"/>
    <mergeCell ref="D41:D42"/>
    <mergeCell ref="E41:E42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A19:A20"/>
    <mergeCell ref="B19:B20"/>
    <mergeCell ref="C19:C20"/>
    <mergeCell ref="D19:D20"/>
    <mergeCell ref="E19:E20"/>
    <mergeCell ref="A15:A16"/>
    <mergeCell ref="B15:B16"/>
    <mergeCell ref="C15:C16"/>
    <mergeCell ref="D15:D16"/>
    <mergeCell ref="E15:E16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6:A7"/>
    <mergeCell ref="B6:B7"/>
    <mergeCell ref="C6:C7"/>
    <mergeCell ref="D6:D7"/>
    <mergeCell ref="E6:E7"/>
    <mergeCell ref="A3:A4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167C-6720-412F-A66E-183DCC5CEF2D}">
  <dimension ref="A1:G55"/>
  <sheetViews>
    <sheetView tabSelected="1" topLeftCell="B27" workbookViewId="0">
      <selection activeCell="F31" sqref="F31:F32"/>
    </sheetView>
  </sheetViews>
  <sheetFormatPr defaultRowHeight="15" x14ac:dyDescent="0.25"/>
  <cols>
    <col min="1" max="1" width="12" customWidth="1"/>
    <col min="2" max="2" width="114.5703125" customWidth="1"/>
    <col min="3" max="3" width="37.42578125" customWidth="1"/>
    <col min="4" max="4" width="18" customWidth="1"/>
    <col min="5" max="5" width="15.7109375" customWidth="1"/>
    <col min="6" max="6" width="26.7109375" customWidth="1"/>
  </cols>
  <sheetData>
    <row r="1" spans="1:7" x14ac:dyDescent="0.25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  <c r="F1" s="1" t="s">
        <v>39</v>
      </c>
      <c r="G1" s="11"/>
    </row>
    <row r="2" spans="1:7" x14ac:dyDescent="0.25">
      <c r="A2" t="s">
        <v>6</v>
      </c>
      <c r="B2" t="s">
        <v>40</v>
      </c>
      <c r="C2" s="2"/>
      <c r="D2" s="1">
        <f>1/0.9</f>
        <v>1.1111111111111112</v>
      </c>
      <c r="E2" s="1">
        <v>7</v>
      </c>
      <c r="F2" s="1">
        <v>0.8</v>
      </c>
    </row>
    <row r="3" spans="1:7" x14ac:dyDescent="0.25">
      <c r="A3" s="6" t="s">
        <v>7</v>
      </c>
      <c r="B3" s="3" t="s">
        <v>41</v>
      </c>
      <c r="C3" s="3"/>
      <c r="D3" s="5">
        <f>1/E3</f>
        <v>2.8089887640449437E-2</v>
      </c>
      <c r="E3" s="5">
        <v>35.6</v>
      </c>
      <c r="F3" s="5">
        <v>0.2</v>
      </c>
    </row>
    <row r="4" spans="1:7" x14ac:dyDescent="0.25">
      <c r="A4" s="6"/>
      <c r="B4" s="3"/>
      <c r="C4" s="3"/>
      <c r="D4" s="5"/>
      <c r="E4" s="5"/>
      <c r="F4" s="5"/>
    </row>
    <row r="5" spans="1:7" x14ac:dyDescent="0.25">
      <c r="A5" t="s">
        <v>8</v>
      </c>
      <c r="B5" t="s">
        <v>42</v>
      </c>
      <c r="C5" s="2"/>
      <c r="D5" s="1">
        <f>1/E5</f>
        <v>4.048582995951417E-2</v>
      </c>
      <c r="E5" s="1">
        <v>24.7</v>
      </c>
      <c r="F5" s="1">
        <v>2</v>
      </c>
    </row>
    <row r="6" spans="1:7" x14ac:dyDescent="0.25">
      <c r="A6" s="8" t="s">
        <v>9</v>
      </c>
      <c r="B6" s="3" t="s">
        <v>43</v>
      </c>
      <c r="C6" s="3"/>
      <c r="D6" s="5">
        <f>1/E6</f>
        <v>2.4096385542168676E-2</v>
      </c>
      <c r="E6" s="7">
        <v>41.5</v>
      </c>
      <c r="F6" s="7">
        <v>2</v>
      </c>
    </row>
    <row r="7" spans="1:7" x14ac:dyDescent="0.25">
      <c r="A7" s="8"/>
      <c r="B7" s="3"/>
      <c r="C7" s="3"/>
      <c r="D7" s="5"/>
      <c r="E7" s="7"/>
      <c r="F7" s="7"/>
    </row>
    <row r="8" spans="1:7" x14ac:dyDescent="0.25">
      <c r="A8" t="s">
        <v>10</v>
      </c>
      <c r="B8" t="s">
        <v>44</v>
      </c>
      <c r="C8" s="2"/>
      <c r="D8" s="1">
        <f>1/E8</f>
        <v>0.2857142857142857</v>
      </c>
      <c r="E8" s="1">
        <v>3.5</v>
      </c>
      <c r="F8" s="1">
        <v>0.1</v>
      </c>
    </row>
    <row r="9" spans="1:7" x14ac:dyDescent="0.25">
      <c r="A9" t="s">
        <v>11</v>
      </c>
      <c r="B9" t="s">
        <v>45</v>
      </c>
      <c r="C9" s="2"/>
      <c r="D9" s="1">
        <f>1/E9</f>
        <v>8.3333333333333329E-2</v>
      </c>
      <c r="E9" s="1">
        <v>12</v>
      </c>
      <c r="F9" s="1">
        <v>0.5</v>
      </c>
    </row>
    <row r="10" spans="1:7" x14ac:dyDescent="0.25">
      <c r="A10" s="6" t="s">
        <v>12</v>
      </c>
      <c r="B10" s="6" t="s">
        <v>46</v>
      </c>
      <c r="C10" s="3"/>
      <c r="D10" s="5">
        <f>1/E10</f>
        <v>7.407407407407407E-2</v>
      </c>
      <c r="E10" s="5">
        <v>13.5</v>
      </c>
      <c r="F10" s="5">
        <v>0.8</v>
      </c>
    </row>
    <row r="11" spans="1:7" x14ac:dyDescent="0.25">
      <c r="A11" s="6"/>
      <c r="B11" s="6"/>
      <c r="C11" s="3"/>
      <c r="D11" s="5"/>
      <c r="E11" s="5"/>
      <c r="F11" s="5"/>
    </row>
    <row r="12" spans="1:7" x14ac:dyDescent="0.25">
      <c r="A12" s="8" t="s">
        <v>13</v>
      </c>
      <c r="B12" s="8" t="s">
        <v>47</v>
      </c>
      <c r="C12" s="3"/>
      <c r="D12" s="5">
        <f>1/E12</f>
        <v>1.1111111111111112</v>
      </c>
      <c r="E12" s="5">
        <v>0.9</v>
      </c>
      <c r="F12" s="5">
        <v>0.1</v>
      </c>
    </row>
    <row r="13" spans="1:7" x14ac:dyDescent="0.25">
      <c r="A13" s="8"/>
      <c r="B13" s="8"/>
      <c r="C13" s="3"/>
      <c r="D13" s="5"/>
      <c r="E13" s="5"/>
      <c r="F13" s="5"/>
    </row>
    <row r="14" spans="1:7" x14ac:dyDescent="0.25">
      <c r="A14" t="s">
        <v>14</v>
      </c>
      <c r="B14" t="s">
        <v>48</v>
      </c>
      <c r="C14" s="2"/>
      <c r="D14" s="1">
        <f>1/E14</f>
        <v>0.15873015873015872</v>
      </c>
      <c r="E14" s="1">
        <v>6.3</v>
      </c>
      <c r="F14" s="1">
        <v>0.3</v>
      </c>
    </row>
    <row r="15" spans="1:7" x14ac:dyDescent="0.25">
      <c r="A15" s="3" t="s">
        <v>15</v>
      </c>
      <c r="B15" s="3" t="s">
        <v>49</v>
      </c>
      <c r="C15" s="3"/>
      <c r="D15" s="5">
        <f>1/E15</f>
        <v>0.7142857142857143</v>
      </c>
      <c r="E15" s="5">
        <v>1.4</v>
      </c>
      <c r="F15" s="5">
        <v>0.3</v>
      </c>
    </row>
    <row r="16" spans="1:7" x14ac:dyDescent="0.25">
      <c r="A16" s="3"/>
      <c r="B16" s="3"/>
      <c r="C16" s="3"/>
      <c r="D16" s="5"/>
      <c r="E16" s="5"/>
      <c r="F16" s="5"/>
    </row>
    <row r="17" spans="1:6" x14ac:dyDescent="0.25">
      <c r="A17" t="s">
        <v>16</v>
      </c>
      <c r="B17" t="s">
        <v>50</v>
      </c>
      <c r="C17" s="2"/>
      <c r="D17" s="1">
        <f>1/E17</f>
        <v>0.14285714285714285</v>
      </c>
      <c r="E17" s="1">
        <v>7</v>
      </c>
      <c r="F17" s="1">
        <v>1.1000000000000001</v>
      </c>
    </row>
    <row r="18" spans="1:6" x14ac:dyDescent="0.25">
      <c r="A18" t="s">
        <v>17</v>
      </c>
      <c r="B18" t="s">
        <v>51</v>
      </c>
      <c r="C18" s="2"/>
      <c r="D18" s="1">
        <f>1/E18</f>
        <v>1</v>
      </c>
      <c r="E18" s="1">
        <v>1</v>
      </c>
      <c r="F18" s="1">
        <v>0.1</v>
      </c>
    </row>
    <row r="19" spans="1:6" x14ac:dyDescent="0.25">
      <c r="A19" s="9" t="s">
        <v>18</v>
      </c>
      <c r="B19" s="9" t="s">
        <v>52</v>
      </c>
      <c r="C19" s="3"/>
      <c r="D19" s="5">
        <f>1/E19</f>
        <v>0.15151515151515152</v>
      </c>
      <c r="E19" s="5">
        <v>6.6</v>
      </c>
      <c r="F19" s="5">
        <v>1.1000000000000001</v>
      </c>
    </row>
    <row r="20" spans="1:6" x14ac:dyDescent="0.25">
      <c r="A20" s="9"/>
      <c r="B20" s="9"/>
      <c r="C20" s="3"/>
      <c r="D20" s="5"/>
      <c r="E20" s="5"/>
      <c r="F20" s="5"/>
    </row>
    <row r="21" spans="1:6" x14ac:dyDescent="0.25">
      <c r="A21" t="s">
        <v>19</v>
      </c>
      <c r="B21" t="s">
        <v>53</v>
      </c>
      <c r="C21" s="2"/>
      <c r="D21" s="1">
        <f>1/E21</f>
        <v>0.90909090909090906</v>
      </c>
      <c r="E21" s="1">
        <v>1.1000000000000001</v>
      </c>
      <c r="F21" s="1">
        <v>0.1</v>
      </c>
    </row>
    <row r="22" spans="1:6" x14ac:dyDescent="0.25">
      <c r="A22" t="s">
        <v>20</v>
      </c>
      <c r="B22" t="s">
        <v>54</v>
      </c>
      <c r="C22" s="2"/>
      <c r="D22" s="1">
        <f>1/E22</f>
        <v>7.6923076923076927E-2</v>
      </c>
      <c r="E22" s="1">
        <v>13</v>
      </c>
      <c r="F22" s="1">
        <v>1.2</v>
      </c>
    </row>
    <row r="23" spans="1:6" x14ac:dyDescent="0.25">
      <c r="A23" s="10" t="s">
        <v>21</v>
      </c>
      <c r="B23" s="10" t="s">
        <v>55</v>
      </c>
      <c r="C23" s="3"/>
      <c r="D23" s="5">
        <f>1/E23</f>
        <v>1.25</v>
      </c>
      <c r="E23" s="7">
        <v>0.8</v>
      </c>
      <c r="F23" s="7">
        <v>0.2</v>
      </c>
    </row>
    <row r="24" spans="1:6" x14ac:dyDescent="0.25">
      <c r="A24" s="10"/>
      <c r="B24" s="10"/>
      <c r="C24" s="3"/>
      <c r="D24" s="5"/>
      <c r="E24" s="7"/>
      <c r="F24" s="7"/>
    </row>
    <row r="25" spans="1:6" x14ac:dyDescent="0.25">
      <c r="A25" s="10" t="s">
        <v>22</v>
      </c>
      <c r="B25" s="10" t="s">
        <v>56</v>
      </c>
      <c r="C25" s="3"/>
      <c r="D25" s="5">
        <f>1/E25</f>
        <v>0.83333333333333337</v>
      </c>
      <c r="E25" s="7">
        <v>1.2</v>
      </c>
      <c r="F25" s="7">
        <v>0.1</v>
      </c>
    </row>
    <row r="26" spans="1:6" x14ac:dyDescent="0.25">
      <c r="A26" s="10"/>
      <c r="B26" s="10"/>
      <c r="C26" s="3"/>
      <c r="D26" s="5"/>
      <c r="E26" s="7"/>
      <c r="F26" s="7"/>
    </row>
    <row r="27" spans="1:6" x14ac:dyDescent="0.25">
      <c r="A27" t="s">
        <v>23</v>
      </c>
      <c r="B27" t="s">
        <v>57</v>
      </c>
      <c r="C27" s="2"/>
      <c r="D27" s="1">
        <f>1/E27</f>
        <v>1.6666666666666667</v>
      </c>
      <c r="E27" s="1">
        <v>0.6</v>
      </c>
      <c r="F27" s="1">
        <v>0.1</v>
      </c>
    </row>
    <row r="28" spans="1:6" x14ac:dyDescent="0.25">
      <c r="A28" t="s">
        <v>24</v>
      </c>
      <c r="B28" t="s">
        <v>58</v>
      </c>
      <c r="C28" s="2"/>
      <c r="D28" s="1">
        <f>1/E28</f>
        <v>0.20833333333333334</v>
      </c>
      <c r="E28" s="1">
        <v>4.8</v>
      </c>
      <c r="F28" s="1">
        <v>0.4</v>
      </c>
    </row>
    <row r="29" spans="1:6" x14ac:dyDescent="0.25">
      <c r="A29" s="3" t="s">
        <v>25</v>
      </c>
      <c r="B29" s="10" t="s">
        <v>59</v>
      </c>
      <c r="C29" s="3"/>
      <c r="D29" s="4" t="s">
        <v>5</v>
      </c>
      <c r="E29" s="4" t="s">
        <v>5</v>
      </c>
      <c r="F29" s="4">
        <v>0</v>
      </c>
    </row>
    <row r="30" spans="1:6" x14ac:dyDescent="0.25">
      <c r="A30" s="3"/>
      <c r="B30" s="10"/>
      <c r="C30" s="3"/>
      <c r="D30" s="4"/>
      <c r="E30" s="4"/>
      <c r="F30" s="4"/>
    </row>
    <row r="31" spans="1:6" x14ac:dyDescent="0.25">
      <c r="A31" s="10" t="s">
        <v>26</v>
      </c>
      <c r="B31" s="10" t="s">
        <v>60</v>
      </c>
      <c r="C31" s="3"/>
      <c r="D31" s="5">
        <f t="shared" ref="D31" si="0">1/E31</f>
        <v>1.6666666666666667</v>
      </c>
      <c r="E31" s="4">
        <v>0.6</v>
      </c>
      <c r="F31" s="4">
        <v>0.1</v>
      </c>
    </row>
    <row r="32" spans="1:6" x14ac:dyDescent="0.25">
      <c r="A32" s="10"/>
      <c r="B32" s="10"/>
      <c r="C32" s="3"/>
      <c r="D32" s="5"/>
      <c r="E32" s="4"/>
      <c r="F32" s="4"/>
    </row>
    <row r="33" spans="1:6" x14ac:dyDescent="0.25">
      <c r="A33" s="9" t="s">
        <v>27</v>
      </c>
      <c r="B33" s="9" t="s">
        <v>61</v>
      </c>
      <c r="C33" s="3"/>
      <c r="D33" s="5">
        <f t="shared" ref="D33" si="1">1/E33</f>
        <v>1.4285714285714286</v>
      </c>
      <c r="E33" s="4">
        <v>0.7</v>
      </c>
      <c r="F33" s="4">
        <v>0.1</v>
      </c>
    </row>
    <row r="34" spans="1:6" x14ac:dyDescent="0.25">
      <c r="A34" s="9"/>
      <c r="B34" s="9"/>
      <c r="C34" s="3"/>
      <c r="D34" s="5"/>
      <c r="E34" s="4"/>
      <c r="F34" s="4"/>
    </row>
    <row r="35" spans="1:6" x14ac:dyDescent="0.25">
      <c r="A35" s="10" t="s">
        <v>28</v>
      </c>
      <c r="B35" s="10" t="s">
        <v>62</v>
      </c>
      <c r="C35" s="3"/>
      <c r="D35" s="5">
        <f t="shared" ref="D35" si="2">1/E35</f>
        <v>0.58823529411764708</v>
      </c>
      <c r="E35" s="4">
        <v>1.7</v>
      </c>
      <c r="F35" s="4">
        <v>0.2</v>
      </c>
    </row>
    <row r="36" spans="1:6" x14ac:dyDescent="0.25">
      <c r="A36" s="10"/>
      <c r="B36" s="10"/>
      <c r="C36" s="3"/>
      <c r="D36" s="5"/>
      <c r="E36" s="4"/>
      <c r="F36" s="4"/>
    </row>
    <row r="37" spans="1:6" x14ac:dyDescent="0.25">
      <c r="A37" s="10" t="s">
        <v>29</v>
      </c>
      <c r="B37" s="10" t="s">
        <v>63</v>
      </c>
      <c r="C37" s="3"/>
      <c r="D37" s="4" t="s">
        <v>5</v>
      </c>
      <c r="E37" s="4" t="s">
        <v>5</v>
      </c>
      <c r="F37" s="4">
        <v>0</v>
      </c>
    </row>
    <row r="38" spans="1:6" x14ac:dyDescent="0.25">
      <c r="A38" s="10"/>
      <c r="B38" s="10"/>
      <c r="C38" s="3"/>
      <c r="D38" s="4"/>
      <c r="E38" s="4"/>
      <c r="F38" s="4"/>
    </row>
    <row r="39" spans="1:6" x14ac:dyDescent="0.25">
      <c r="A39" s="10" t="s">
        <v>30</v>
      </c>
      <c r="B39" s="10" t="s">
        <v>64</v>
      </c>
      <c r="C39" s="3"/>
      <c r="D39" s="4" t="s">
        <v>5</v>
      </c>
      <c r="E39" s="4" t="s">
        <v>5</v>
      </c>
      <c r="F39" s="4">
        <v>0</v>
      </c>
    </row>
    <row r="40" spans="1:6" x14ac:dyDescent="0.25">
      <c r="A40" s="10"/>
      <c r="B40" s="10"/>
      <c r="C40" s="3"/>
      <c r="D40" s="4"/>
      <c r="E40" s="4"/>
      <c r="F40" s="4"/>
    </row>
    <row r="41" spans="1:6" x14ac:dyDescent="0.25">
      <c r="A41" s="10" t="s">
        <v>31</v>
      </c>
      <c r="B41" s="10" t="s">
        <v>65</v>
      </c>
      <c r="C41" s="3"/>
      <c r="D41" s="4" t="s">
        <v>5</v>
      </c>
      <c r="E41" s="4" t="s">
        <v>5</v>
      </c>
      <c r="F41" s="4">
        <v>0</v>
      </c>
    </row>
    <row r="42" spans="1:6" x14ac:dyDescent="0.25">
      <c r="A42" s="10"/>
      <c r="B42" s="10"/>
      <c r="C42" s="3"/>
      <c r="D42" s="4"/>
      <c r="E42" s="4"/>
      <c r="F42" s="4"/>
    </row>
    <row r="43" spans="1:6" x14ac:dyDescent="0.25">
      <c r="A43" s="10" t="s">
        <v>32</v>
      </c>
      <c r="B43" s="10" t="s">
        <v>66</v>
      </c>
      <c r="C43" s="3"/>
      <c r="D43" s="5" t="s">
        <v>5</v>
      </c>
      <c r="E43" s="5" t="s">
        <v>5</v>
      </c>
      <c r="F43" s="4">
        <v>0</v>
      </c>
    </row>
    <row r="44" spans="1:6" x14ac:dyDescent="0.25">
      <c r="A44" s="10"/>
      <c r="B44" s="10"/>
      <c r="C44" s="3"/>
      <c r="D44" s="5"/>
      <c r="E44" s="5"/>
      <c r="F44" s="4"/>
    </row>
    <row r="45" spans="1:6" x14ac:dyDescent="0.25">
      <c r="A45" s="10" t="s">
        <v>33</v>
      </c>
      <c r="B45" s="10" t="s">
        <v>67</v>
      </c>
      <c r="C45" s="3"/>
      <c r="D45" s="5" t="s">
        <v>5</v>
      </c>
      <c r="E45" s="5" t="s">
        <v>5</v>
      </c>
      <c r="F45" s="4">
        <v>0</v>
      </c>
    </row>
    <row r="46" spans="1:6" x14ac:dyDescent="0.25">
      <c r="A46" s="10"/>
      <c r="B46" s="10"/>
      <c r="C46" s="3"/>
      <c r="D46" s="5"/>
      <c r="E46" s="5"/>
      <c r="F46" s="4"/>
    </row>
    <row r="47" spans="1:6" x14ac:dyDescent="0.25">
      <c r="A47" s="10" t="s">
        <v>34</v>
      </c>
      <c r="B47" s="10" t="s">
        <v>68</v>
      </c>
      <c r="C47" s="3"/>
      <c r="D47" s="5" t="s">
        <v>5</v>
      </c>
      <c r="E47" s="5" t="s">
        <v>5</v>
      </c>
      <c r="F47" s="4">
        <v>0</v>
      </c>
    </row>
    <row r="48" spans="1:6" x14ac:dyDescent="0.25">
      <c r="A48" s="10"/>
      <c r="B48" s="10"/>
      <c r="C48" s="3"/>
      <c r="D48" s="5"/>
      <c r="E48" s="5"/>
      <c r="F48" s="4"/>
    </row>
    <row r="49" spans="1:6" x14ac:dyDescent="0.25">
      <c r="A49" t="s">
        <v>35</v>
      </c>
      <c r="B49" t="s">
        <v>69</v>
      </c>
      <c r="C49" s="2"/>
      <c r="D49" s="1">
        <f>1/E49</f>
        <v>3.3333333333333335</v>
      </c>
      <c r="E49" s="1">
        <v>0.3</v>
      </c>
      <c r="F49" s="1">
        <v>0.1</v>
      </c>
    </row>
    <row r="50" spans="1:6" x14ac:dyDescent="0.25">
      <c r="A50" s="10" t="s">
        <v>36</v>
      </c>
      <c r="B50" s="10" t="s">
        <v>70</v>
      </c>
      <c r="C50" s="3"/>
      <c r="D50" s="5">
        <f>1/E50</f>
        <v>9.0909090909090912E-2</v>
      </c>
      <c r="E50" s="5">
        <v>11</v>
      </c>
      <c r="F50" s="5">
        <v>0.6</v>
      </c>
    </row>
    <row r="51" spans="1:6" x14ac:dyDescent="0.25">
      <c r="A51" s="10"/>
      <c r="B51" s="10"/>
      <c r="C51" s="3"/>
      <c r="D51" s="5"/>
      <c r="E51" s="5"/>
      <c r="F51" s="5"/>
    </row>
    <row r="52" spans="1:6" x14ac:dyDescent="0.25">
      <c r="A52" s="10" t="s">
        <v>37</v>
      </c>
      <c r="B52" s="10" t="s">
        <v>71</v>
      </c>
      <c r="C52" s="3"/>
      <c r="D52" s="5">
        <f t="shared" ref="D52" si="3">1/E52</f>
        <v>0.05</v>
      </c>
      <c r="E52" s="5">
        <v>20</v>
      </c>
      <c r="F52" s="5">
        <v>0.4</v>
      </c>
    </row>
    <row r="53" spans="1:6" x14ac:dyDescent="0.25">
      <c r="A53" s="10"/>
      <c r="B53" s="10"/>
      <c r="C53" s="3"/>
      <c r="D53" s="5"/>
      <c r="E53" s="5"/>
      <c r="F53" s="5"/>
    </row>
    <row r="54" spans="1:6" x14ac:dyDescent="0.25">
      <c r="A54" s="10" t="s">
        <v>38</v>
      </c>
      <c r="B54" s="10" t="s">
        <v>72</v>
      </c>
      <c r="C54" s="3"/>
      <c r="D54" s="5">
        <f t="shared" ref="D54" si="4">1/E54</f>
        <v>0.43478260869565222</v>
      </c>
      <c r="E54" s="5">
        <v>2.2999999999999998</v>
      </c>
      <c r="F54" s="5">
        <v>0.1</v>
      </c>
    </row>
    <row r="55" spans="1:6" x14ac:dyDescent="0.25">
      <c r="A55" s="10"/>
      <c r="B55" s="10"/>
      <c r="C55" s="3"/>
      <c r="D55" s="5"/>
      <c r="E55" s="5"/>
      <c r="F55" s="5"/>
    </row>
  </sheetData>
  <mergeCells count="126">
    <mergeCell ref="A54:A55"/>
    <mergeCell ref="B54:B55"/>
    <mergeCell ref="C54:C55"/>
    <mergeCell ref="D54:D55"/>
    <mergeCell ref="E54:E55"/>
    <mergeCell ref="F54:F55"/>
    <mergeCell ref="E47:E48"/>
    <mergeCell ref="F47:F48"/>
    <mergeCell ref="A50:A51"/>
    <mergeCell ref="B50:B51"/>
    <mergeCell ref="C50:C51"/>
    <mergeCell ref="D50:D51"/>
    <mergeCell ref="E50:E51"/>
    <mergeCell ref="F50:F51"/>
    <mergeCell ref="E43:E44"/>
    <mergeCell ref="F43:F44"/>
    <mergeCell ref="A45:A46"/>
    <mergeCell ref="B45:B46"/>
    <mergeCell ref="C45:C46"/>
    <mergeCell ref="D45:D46"/>
    <mergeCell ref="E45:E46"/>
    <mergeCell ref="F45:F46"/>
    <mergeCell ref="E37:E38"/>
    <mergeCell ref="F37:F38"/>
    <mergeCell ref="A39:A40"/>
    <mergeCell ref="B39:B40"/>
    <mergeCell ref="C39:C40"/>
    <mergeCell ref="D39:D40"/>
    <mergeCell ref="E39:E40"/>
    <mergeCell ref="F39:F40"/>
    <mergeCell ref="E31:E32"/>
    <mergeCell ref="F31:F32"/>
    <mergeCell ref="A33:A34"/>
    <mergeCell ref="B33:B34"/>
    <mergeCell ref="C33:C34"/>
    <mergeCell ref="D33:D34"/>
    <mergeCell ref="E33:E34"/>
    <mergeCell ref="F33:F34"/>
    <mergeCell ref="A25:A26"/>
    <mergeCell ref="B25:B26"/>
    <mergeCell ref="C25:C26"/>
    <mergeCell ref="D25:D26"/>
    <mergeCell ref="E25:E26"/>
    <mergeCell ref="F25:F26"/>
    <mergeCell ref="E15:E16"/>
    <mergeCell ref="F15:F16"/>
    <mergeCell ref="A19:A20"/>
    <mergeCell ref="B19:B20"/>
    <mergeCell ref="C19:C20"/>
    <mergeCell ref="D19:D20"/>
    <mergeCell ref="E19:E20"/>
    <mergeCell ref="F19:F20"/>
    <mergeCell ref="A12:A13"/>
    <mergeCell ref="B12:B13"/>
    <mergeCell ref="C12:C13"/>
    <mergeCell ref="D12:D13"/>
    <mergeCell ref="E12:E13"/>
    <mergeCell ref="F12:F13"/>
    <mergeCell ref="E3:E4"/>
    <mergeCell ref="F3:F4"/>
    <mergeCell ref="A6:A7"/>
    <mergeCell ref="B6:B7"/>
    <mergeCell ref="C6:C7"/>
    <mergeCell ref="D6:D7"/>
    <mergeCell ref="E6:E7"/>
    <mergeCell ref="F6:F7"/>
    <mergeCell ref="A52:A53"/>
    <mergeCell ref="B52:B53"/>
    <mergeCell ref="C52:C53"/>
    <mergeCell ref="D52:D53"/>
    <mergeCell ref="E52:E53"/>
    <mergeCell ref="F52:F53"/>
    <mergeCell ref="A47:A48"/>
    <mergeCell ref="B47:B48"/>
    <mergeCell ref="C47:C48"/>
    <mergeCell ref="D47:D48"/>
    <mergeCell ref="A43:A44"/>
    <mergeCell ref="B43:B44"/>
    <mergeCell ref="C43:C44"/>
    <mergeCell ref="D43:D44"/>
    <mergeCell ref="A41:A42"/>
    <mergeCell ref="B41:B42"/>
    <mergeCell ref="C41:C42"/>
    <mergeCell ref="D41:D42"/>
    <mergeCell ref="E41:E42"/>
    <mergeCell ref="F41:F42"/>
    <mergeCell ref="A37:A38"/>
    <mergeCell ref="B37:B38"/>
    <mergeCell ref="C37:C38"/>
    <mergeCell ref="D37:D38"/>
    <mergeCell ref="A35:A36"/>
    <mergeCell ref="B35:B36"/>
    <mergeCell ref="C35:C36"/>
    <mergeCell ref="D35:D36"/>
    <mergeCell ref="E35:E36"/>
    <mergeCell ref="F35:F36"/>
    <mergeCell ref="A31:A32"/>
    <mergeCell ref="B31:B32"/>
    <mergeCell ref="C31:C32"/>
    <mergeCell ref="D31:D32"/>
    <mergeCell ref="A29:A30"/>
    <mergeCell ref="B29:B30"/>
    <mergeCell ref="C29:C30"/>
    <mergeCell ref="D29:D30"/>
    <mergeCell ref="E29:E30"/>
    <mergeCell ref="F29:F30"/>
    <mergeCell ref="A23:A24"/>
    <mergeCell ref="B23:B24"/>
    <mergeCell ref="C23:C24"/>
    <mergeCell ref="D23:D24"/>
    <mergeCell ref="E23:E24"/>
    <mergeCell ref="F23:F24"/>
    <mergeCell ref="A15:A16"/>
    <mergeCell ref="B15:B16"/>
    <mergeCell ref="C15:C16"/>
    <mergeCell ref="D15:D16"/>
    <mergeCell ref="A10:A11"/>
    <mergeCell ref="B10:B11"/>
    <mergeCell ref="C10:C11"/>
    <mergeCell ref="D10:D11"/>
    <mergeCell ref="E10:E11"/>
    <mergeCell ref="F10:F11"/>
    <mergeCell ref="A3:A4"/>
    <mergeCell ref="B3:B4"/>
    <mergeCell ref="C3:C4"/>
    <mergeCell ref="D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hGal-1</vt:lpstr>
      <vt:lpstr>hGal-3C</vt:lpstr>
      <vt:lpstr>hGal-7</vt:lpstr>
      <vt:lpstr>hGal-9N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waters</cp:lastModifiedBy>
  <dcterms:created xsi:type="dcterms:W3CDTF">2025-08-14T16:46:02Z</dcterms:created>
  <dcterms:modified xsi:type="dcterms:W3CDTF">2025-08-14T22:22:35Z</dcterms:modified>
</cp:coreProperties>
</file>